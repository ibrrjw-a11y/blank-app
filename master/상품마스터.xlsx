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채널옵션" sheetId="1" state="visible" r:id="rId1"/>
    <sheet name="가격표" sheetId="2" state="visible" r:id="rId2"/>
    <sheet name="판매구성" sheetId="3" state="visible" r:id="rId3"/>
    <sheet name="구성품" sheetId="4" state="visible" r:id="rId4"/>
    <sheet name="SKU" sheetId="5" state="visible" r:id="rId5"/>
    <sheet name="판매채널" sheetId="6" state="visible" r:id="rId6"/>
    <sheet name="광고채널" sheetId="7" state="visible" r:id="rId7"/>
    <sheet name="설정" sheetId="8" state="visible" r:id="rId8"/>
  </sheets>
  <definedNames>
    <definedName name="_xlnm._FilterDatabase" localSheetId="0" hidden="1">'채널옵션'!$A$1:$P$501</definedName>
    <definedName name="_xlnm._FilterDatabase" localSheetId="1" hidden="1">'가격표'!$A$1:$K$501</definedName>
    <definedName name="_xlnm._FilterDatabase" localSheetId="2" hidden="1">'판매구성'!$A$1:$F$501</definedName>
    <definedName name="_xlnm._FilterDatabase" localSheetId="3" hidden="1">'구성품'!$A$1:$F$501</definedName>
    <definedName name="_xlnm._FilterDatabase" localSheetId="4" hidden="1">'SKU'!$A$1:$I$501</definedName>
    <definedName name="_xlnm._FilterDatabase" localSheetId="5" hidden="1">'판매채널'!$A$1:$G$501</definedName>
    <definedName name="_xlnm._FilterDatabase" localSheetId="6" hidden="1">'광고채널'!$A$1:$E$501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color rgb="000000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49" fontId="0" fillId="0" borderId="0" pivotButton="0" quotePrefix="0" xfId="0"/>
    <xf numFmtId="3" fontId="0" fillId="3" borderId="0" pivotButton="0" quotePrefix="0" xfId="0"/>
    <xf numFmtId="164" fontId="0" fillId="3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9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32" customWidth="1" min="4" max="4"/>
    <col width="16" customWidth="1" min="5" max="5"/>
    <col width="12" customWidth="1" min="6" max="6"/>
    <col width="18" customWidth="1" min="7" max="7"/>
    <col width="36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0" customWidth="1" min="16" max="16"/>
  </cols>
  <sheetData>
    <row r="1" ht="24" customHeight="1">
      <c r="A1" s="1" t="inlineStr">
        <is>
          <t>채널코드</t>
        </is>
      </c>
      <c r="B1" s="1" t="inlineStr">
        <is>
          <t>채널명</t>
        </is>
      </c>
      <c r="C1" s="1" t="inlineStr">
        <is>
          <t>구성코드</t>
        </is>
      </c>
      <c r="D1" s="1" t="inlineStr">
        <is>
          <t>구성명</t>
        </is>
      </c>
      <c r="E1" s="1" t="inlineStr">
        <is>
          <t>가격정책</t>
        </is>
      </c>
      <c r="F1" s="1" t="inlineStr">
        <is>
          <t>광고코드</t>
        </is>
      </c>
      <c r="G1" s="1" t="inlineStr">
        <is>
          <t>쇼핑몰상품코드</t>
        </is>
      </c>
      <c r="H1" s="1" t="inlineStr">
        <is>
          <t>쇼핑몰옵션명</t>
        </is>
      </c>
      <c r="I1" s="1" t="inlineStr">
        <is>
          <t>사방넷코드</t>
        </is>
      </c>
      <c r="J1" s="1" t="inlineStr">
        <is>
          <t>판매가</t>
        </is>
      </c>
      <c r="K1" s="1" t="inlineStr">
        <is>
          <t>구성원가</t>
        </is>
      </c>
      <c r="L1" s="1" t="inlineStr">
        <is>
          <t>공급가</t>
        </is>
      </c>
      <c r="M1" s="1" t="inlineStr">
        <is>
          <t>수수료</t>
        </is>
      </c>
      <c r="N1" s="1" t="inlineStr">
        <is>
          <t>마진</t>
        </is>
      </c>
      <c r="O1" s="1" t="inlineStr">
        <is>
          <t>마진율</t>
        </is>
      </c>
      <c r="P1" s="1" t="inlineStr">
        <is>
          <t>상태</t>
        </is>
      </c>
    </row>
    <row r="2">
      <c r="B2" s="2">
        <f>IF(A2="","",IFERROR(INDEX('판매채널'!$B$2:$B$501,MATCH(A2,'판매채널'!$A$2:$A$501,0)),""))</f>
        <v/>
      </c>
      <c r="D2" s="2">
        <f>IF(C2="","",IFERROR(INDEX('판매구성'!$B$2:$B$501,MATCH(C2,'판매구성'!$A$2:$A$501,0)),""))</f>
        <v/>
      </c>
      <c r="G2" s="3" t="n"/>
      <c r="I2" s="2">
        <f>IF(C2="","",IFERROR(INDEX('판매구성'!$C$2:$C$501,MATCH(C2,'판매구성'!$A$2:$A$501,0)),""))</f>
        <v/>
      </c>
      <c r="J2" s="4">
        <f>IF(OR(C2="",E2=""),"",IFERROR(IF(INDEX('가격표'!$D$2:$K$501,MATCH(C2,'가격표'!$A$2:$A$501,0),MATCH(E2,'가격표'!$D$1:$K$1,0))="","",INDEX('가격표'!$D$2:$K$501,MATCH(C2,'가격표'!$A$2:$A$501,0),MATCH(E2,'가격표'!$D$1:$K$1,0))),""))</f>
        <v/>
      </c>
      <c r="K2" s="4">
        <f>IF(C2="","",IFERROR(INDEX('판매구성'!$D$2:$D$501,MATCH(C2,'판매구성'!$A$2:$A$501,0)),""))</f>
        <v/>
      </c>
      <c r="L2" s="4">
        <f>IF(OR(J2="",K2=""),"",ROUND(J2-(J2-K2)*'설정'!$B$2,0))</f>
        <v/>
      </c>
      <c r="M2" s="4">
        <f>IF(OR(A2="",J2=""),"",ROUND(J2*N(IFERROR(INDEX('판매채널'!$F$2:$F$501,MATCH(A2,'판매채널'!$A$2:$A$501,0)),"")),0))</f>
        <v/>
      </c>
      <c r="N2" s="4">
        <f>IF(OR(J2="",K2=""),"",J2-M2-K2)</f>
        <v/>
      </c>
      <c r="O2" s="5">
        <f>IF(OR(J2="",J2=0),"",N2/J2)</f>
        <v/>
      </c>
    </row>
    <row r="3">
      <c r="B3" s="2">
        <f>IF(A3="","",IFERROR(INDEX('판매채널'!$B$2:$B$501,MATCH(A3,'판매채널'!$A$2:$A$501,0)),""))</f>
        <v/>
      </c>
      <c r="D3" s="2">
        <f>IF(C3="","",IFERROR(INDEX('판매구성'!$B$2:$B$501,MATCH(C3,'판매구성'!$A$2:$A$501,0)),""))</f>
        <v/>
      </c>
      <c r="G3" s="3" t="n"/>
      <c r="I3" s="2">
        <f>IF(C3="","",IFERROR(INDEX('판매구성'!$C$2:$C$501,MATCH(C3,'판매구성'!$A$2:$A$501,0)),""))</f>
        <v/>
      </c>
      <c r="J3" s="4">
        <f>IF(OR(C3="",E3=""),"",IFERROR(IF(INDEX('가격표'!$D$2:$K$501,MATCH(C3,'가격표'!$A$2:$A$501,0),MATCH(E3,'가격표'!$D$1:$K$1,0))="","",INDEX('가격표'!$D$2:$K$501,MATCH(C3,'가격표'!$A$2:$A$501,0),MATCH(E3,'가격표'!$D$1:$K$1,0))),""))</f>
        <v/>
      </c>
      <c r="K3" s="4">
        <f>IF(C3="","",IFERROR(INDEX('판매구성'!$D$2:$D$501,MATCH(C3,'판매구성'!$A$2:$A$501,0)),""))</f>
        <v/>
      </c>
      <c r="L3" s="4">
        <f>IF(OR(J3="",K3=""),"",ROUND(J3-(J3-K3)*'설정'!$B$2,0))</f>
        <v/>
      </c>
      <c r="M3" s="4">
        <f>IF(OR(A3="",J3=""),"",ROUND(J3*N(IFERROR(INDEX('판매채널'!$F$2:$F$501,MATCH(A3,'판매채널'!$A$2:$A$501,0)),"")),0))</f>
        <v/>
      </c>
      <c r="N3" s="4">
        <f>IF(OR(J3="",K3=""),"",J3-M3-K3)</f>
        <v/>
      </c>
      <c r="O3" s="5">
        <f>IF(OR(J3="",J3=0),"",N3/J3)</f>
        <v/>
      </c>
    </row>
    <row r="4">
      <c r="B4" s="2">
        <f>IF(A4="","",IFERROR(INDEX('판매채널'!$B$2:$B$501,MATCH(A4,'판매채널'!$A$2:$A$501,0)),""))</f>
        <v/>
      </c>
      <c r="D4" s="2">
        <f>IF(C4="","",IFERROR(INDEX('판매구성'!$B$2:$B$501,MATCH(C4,'판매구성'!$A$2:$A$501,0)),""))</f>
        <v/>
      </c>
      <c r="G4" s="3" t="n"/>
      <c r="I4" s="2">
        <f>IF(C4="","",IFERROR(INDEX('판매구성'!$C$2:$C$501,MATCH(C4,'판매구성'!$A$2:$A$501,0)),""))</f>
        <v/>
      </c>
      <c r="J4" s="4">
        <f>IF(OR(C4="",E4=""),"",IFERROR(IF(INDEX('가격표'!$D$2:$K$501,MATCH(C4,'가격표'!$A$2:$A$501,0),MATCH(E4,'가격표'!$D$1:$K$1,0))="","",INDEX('가격표'!$D$2:$K$501,MATCH(C4,'가격표'!$A$2:$A$501,0),MATCH(E4,'가격표'!$D$1:$K$1,0))),""))</f>
        <v/>
      </c>
      <c r="K4" s="4">
        <f>IF(C4="","",IFERROR(INDEX('판매구성'!$D$2:$D$501,MATCH(C4,'판매구성'!$A$2:$A$501,0)),""))</f>
        <v/>
      </c>
      <c r="L4" s="4">
        <f>IF(OR(J4="",K4=""),"",ROUND(J4-(J4-K4)*'설정'!$B$2,0))</f>
        <v/>
      </c>
      <c r="M4" s="4">
        <f>IF(OR(A4="",J4=""),"",ROUND(J4*N(IFERROR(INDEX('판매채널'!$F$2:$F$501,MATCH(A4,'판매채널'!$A$2:$A$501,0)),"")),0))</f>
        <v/>
      </c>
      <c r="N4" s="4">
        <f>IF(OR(J4="",K4=""),"",J4-M4-K4)</f>
        <v/>
      </c>
      <c r="O4" s="5">
        <f>IF(OR(J4="",J4=0),"",N4/J4)</f>
        <v/>
      </c>
    </row>
    <row r="5">
      <c r="B5" s="2">
        <f>IF(A5="","",IFERROR(INDEX('판매채널'!$B$2:$B$501,MATCH(A5,'판매채널'!$A$2:$A$501,0)),""))</f>
        <v/>
      </c>
      <c r="D5" s="2">
        <f>IF(C5="","",IFERROR(INDEX('판매구성'!$B$2:$B$501,MATCH(C5,'판매구성'!$A$2:$A$501,0)),""))</f>
        <v/>
      </c>
      <c r="G5" s="3" t="n"/>
      <c r="I5" s="2">
        <f>IF(C5="","",IFERROR(INDEX('판매구성'!$C$2:$C$501,MATCH(C5,'판매구성'!$A$2:$A$501,0)),""))</f>
        <v/>
      </c>
      <c r="J5" s="4">
        <f>IF(OR(C5="",E5=""),"",IFERROR(IF(INDEX('가격표'!$D$2:$K$501,MATCH(C5,'가격표'!$A$2:$A$501,0),MATCH(E5,'가격표'!$D$1:$K$1,0))="","",INDEX('가격표'!$D$2:$K$501,MATCH(C5,'가격표'!$A$2:$A$501,0),MATCH(E5,'가격표'!$D$1:$K$1,0))),""))</f>
        <v/>
      </c>
      <c r="K5" s="4">
        <f>IF(C5="","",IFERROR(INDEX('판매구성'!$D$2:$D$501,MATCH(C5,'판매구성'!$A$2:$A$501,0)),""))</f>
        <v/>
      </c>
      <c r="L5" s="4">
        <f>IF(OR(J5="",K5=""),"",ROUND(J5-(J5-K5)*'설정'!$B$2,0))</f>
        <v/>
      </c>
      <c r="M5" s="4">
        <f>IF(OR(A5="",J5=""),"",ROUND(J5*N(IFERROR(INDEX('판매채널'!$F$2:$F$501,MATCH(A5,'판매채널'!$A$2:$A$501,0)),"")),0))</f>
        <v/>
      </c>
      <c r="N5" s="4">
        <f>IF(OR(J5="",K5=""),"",J5-M5-K5)</f>
        <v/>
      </c>
      <c r="O5" s="5">
        <f>IF(OR(J5="",J5=0),"",N5/J5)</f>
        <v/>
      </c>
    </row>
    <row r="6">
      <c r="B6" s="2">
        <f>IF(A6="","",IFERROR(INDEX('판매채널'!$B$2:$B$501,MATCH(A6,'판매채널'!$A$2:$A$501,0)),""))</f>
        <v/>
      </c>
      <c r="D6" s="2">
        <f>IF(C6="","",IFERROR(INDEX('판매구성'!$B$2:$B$501,MATCH(C6,'판매구성'!$A$2:$A$501,0)),""))</f>
        <v/>
      </c>
      <c r="G6" s="3" t="n"/>
      <c r="I6" s="2">
        <f>IF(C6="","",IFERROR(INDEX('판매구성'!$C$2:$C$501,MATCH(C6,'판매구성'!$A$2:$A$501,0)),""))</f>
        <v/>
      </c>
      <c r="J6" s="4">
        <f>IF(OR(C6="",E6=""),"",IFERROR(IF(INDEX('가격표'!$D$2:$K$501,MATCH(C6,'가격표'!$A$2:$A$501,0),MATCH(E6,'가격표'!$D$1:$K$1,0))="","",INDEX('가격표'!$D$2:$K$501,MATCH(C6,'가격표'!$A$2:$A$501,0),MATCH(E6,'가격표'!$D$1:$K$1,0))),""))</f>
        <v/>
      </c>
      <c r="K6" s="4">
        <f>IF(C6="","",IFERROR(INDEX('판매구성'!$D$2:$D$501,MATCH(C6,'판매구성'!$A$2:$A$501,0)),""))</f>
        <v/>
      </c>
      <c r="L6" s="4">
        <f>IF(OR(J6="",K6=""),"",ROUND(J6-(J6-K6)*'설정'!$B$2,0))</f>
        <v/>
      </c>
      <c r="M6" s="4">
        <f>IF(OR(A6="",J6=""),"",ROUND(J6*N(IFERROR(INDEX('판매채널'!$F$2:$F$501,MATCH(A6,'판매채널'!$A$2:$A$501,0)),"")),0))</f>
        <v/>
      </c>
      <c r="N6" s="4">
        <f>IF(OR(J6="",K6=""),"",J6-M6-K6)</f>
        <v/>
      </c>
      <c r="O6" s="5">
        <f>IF(OR(J6="",J6=0),"",N6/J6)</f>
        <v/>
      </c>
    </row>
    <row r="7">
      <c r="B7" s="2">
        <f>IF(A7="","",IFERROR(INDEX('판매채널'!$B$2:$B$501,MATCH(A7,'판매채널'!$A$2:$A$501,0)),""))</f>
        <v/>
      </c>
      <c r="D7" s="2">
        <f>IF(C7="","",IFERROR(INDEX('판매구성'!$B$2:$B$501,MATCH(C7,'판매구성'!$A$2:$A$501,0)),""))</f>
        <v/>
      </c>
      <c r="G7" s="3" t="n"/>
      <c r="I7" s="2">
        <f>IF(C7="","",IFERROR(INDEX('판매구성'!$C$2:$C$501,MATCH(C7,'판매구성'!$A$2:$A$501,0)),""))</f>
        <v/>
      </c>
      <c r="J7" s="4">
        <f>IF(OR(C7="",E7=""),"",IFERROR(IF(INDEX('가격표'!$D$2:$K$501,MATCH(C7,'가격표'!$A$2:$A$501,0),MATCH(E7,'가격표'!$D$1:$K$1,0))="","",INDEX('가격표'!$D$2:$K$501,MATCH(C7,'가격표'!$A$2:$A$501,0),MATCH(E7,'가격표'!$D$1:$K$1,0))),""))</f>
        <v/>
      </c>
      <c r="K7" s="4">
        <f>IF(C7="","",IFERROR(INDEX('판매구성'!$D$2:$D$501,MATCH(C7,'판매구성'!$A$2:$A$501,0)),""))</f>
        <v/>
      </c>
      <c r="L7" s="4">
        <f>IF(OR(J7="",K7=""),"",ROUND(J7-(J7-K7)*'설정'!$B$2,0))</f>
        <v/>
      </c>
      <c r="M7" s="4">
        <f>IF(OR(A7="",J7=""),"",ROUND(J7*N(IFERROR(INDEX('판매채널'!$F$2:$F$501,MATCH(A7,'판매채널'!$A$2:$A$501,0)),"")),0))</f>
        <v/>
      </c>
      <c r="N7" s="4">
        <f>IF(OR(J7="",K7=""),"",J7-M7-K7)</f>
        <v/>
      </c>
      <c r="O7" s="5">
        <f>IF(OR(J7="",J7=0),"",N7/J7)</f>
        <v/>
      </c>
    </row>
    <row r="8">
      <c r="B8" s="2">
        <f>IF(A8="","",IFERROR(INDEX('판매채널'!$B$2:$B$501,MATCH(A8,'판매채널'!$A$2:$A$501,0)),""))</f>
        <v/>
      </c>
      <c r="D8" s="2">
        <f>IF(C8="","",IFERROR(INDEX('판매구성'!$B$2:$B$501,MATCH(C8,'판매구성'!$A$2:$A$501,0)),""))</f>
        <v/>
      </c>
      <c r="G8" s="3" t="n"/>
      <c r="I8" s="2">
        <f>IF(C8="","",IFERROR(INDEX('판매구성'!$C$2:$C$501,MATCH(C8,'판매구성'!$A$2:$A$501,0)),""))</f>
        <v/>
      </c>
      <c r="J8" s="4">
        <f>IF(OR(C8="",E8=""),"",IFERROR(IF(INDEX('가격표'!$D$2:$K$501,MATCH(C8,'가격표'!$A$2:$A$501,0),MATCH(E8,'가격표'!$D$1:$K$1,0))="","",INDEX('가격표'!$D$2:$K$501,MATCH(C8,'가격표'!$A$2:$A$501,0),MATCH(E8,'가격표'!$D$1:$K$1,0))),""))</f>
        <v/>
      </c>
      <c r="K8" s="4">
        <f>IF(C8="","",IFERROR(INDEX('판매구성'!$D$2:$D$501,MATCH(C8,'판매구성'!$A$2:$A$501,0)),""))</f>
        <v/>
      </c>
      <c r="L8" s="4">
        <f>IF(OR(J8="",K8=""),"",ROUND(J8-(J8-K8)*'설정'!$B$2,0))</f>
        <v/>
      </c>
      <c r="M8" s="4">
        <f>IF(OR(A8="",J8=""),"",ROUND(J8*N(IFERROR(INDEX('판매채널'!$F$2:$F$501,MATCH(A8,'판매채널'!$A$2:$A$501,0)),"")),0))</f>
        <v/>
      </c>
      <c r="N8" s="4">
        <f>IF(OR(J8="",K8=""),"",J8-M8-K8)</f>
        <v/>
      </c>
      <c r="O8" s="5">
        <f>IF(OR(J8="",J8=0),"",N8/J8)</f>
        <v/>
      </c>
    </row>
    <row r="9">
      <c r="B9" s="2">
        <f>IF(A9="","",IFERROR(INDEX('판매채널'!$B$2:$B$501,MATCH(A9,'판매채널'!$A$2:$A$501,0)),""))</f>
        <v/>
      </c>
      <c r="D9" s="2">
        <f>IF(C9="","",IFERROR(INDEX('판매구성'!$B$2:$B$501,MATCH(C9,'판매구성'!$A$2:$A$501,0)),""))</f>
        <v/>
      </c>
      <c r="G9" s="3" t="n"/>
      <c r="I9" s="2">
        <f>IF(C9="","",IFERROR(INDEX('판매구성'!$C$2:$C$501,MATCH(C9,'판매구성'!$A$2:$A$501,0)),""))</f>
        <v/>
      </c>
      <c r="J9" s="4">
        <f>IF(OR(C9="",E9=""),"",IFERROR(IF(INDEX('가격표'!$D$2:$K$501,MATCH(C9,'가격표'!$A$2:$A$501,0),MATCH(E9,'가격표'!$D$1:$K$1,0))="","",INDEX('가격표'!$D$2:$K$501,MATCH(C9,'가격표'!$A$2:$A$501,0),MATCH(E9,'가격표'!$D$1:$K$1,0))),""))</f>
        <v/>
      </c>
      <c r="K9" s="4">
        <f>IF(C9="","",IFERROR(INDEX('판매구성'!$D$2:$D$501,MATCH(C9,'판매구성'!$A$2:$A$501,0)),""))</f>
        <v/>
      </c>
      <c r="L9" s="4">
        <f>IF(OR(J9="",K9=""),"",ROUND(J9-(J9-K9)*'설정'!$B$2,0))</f>
        <v/>
      </c>
      <c r="M9" s="4">
        <f>IF(OR(A9="",J9=""),"",ROUND(J9*N(IFERROR(INDEX('판매채널'!$F$2:$F$501,MATCH(A9,'판매채널'!$A$2:$A$501,0)),"")),0))</f>
        <v/>
      </c>
      <c r="N9" s="4">
        <f>IF(OR(J9="",K9=""),"",J9-M9-K9)</f>
        <v/>
      </c>
      <c r="O9" s="5">
        <f>IF(OR(J9="",J9=0),"",N9/J9)</f>
        <v/>
      </c>
    </row>
    <row r="10">
      <c r="B10" s="2">
        <f>IF(A10="","",IFERROR(INDEX('판매채널'!$B$2:$B$501,MATCH(A10,'판매채널'!$A$2:$A$501,0)),""))</f>
        <v/>
      </c>
      <c r="D10" s="2">
        <f>IF(C10="","",IFERROR(INDEX('판매구성'!$B$2:$B$501,MATCH(C10,'판매구성'!$A$2:$A$501,0)),""))</f>
        <v/>
      </c>
      <c r="G10" s="3" t="n"/>
      <c r="I10" s="2">
        <f>IF(C10="","",IFERROR(INDEX('판매구성'!$C$2:$C$501,MATCH(C10,'판매구성'!$A$2:$A$501,0)),""))</f>
        <v/>
      </c>
      <c r="J10" s="4">
        <f>IF(OR(C10="",E10=""),"",IFERROR(IF(INDEX('가격표'!$D$2:$K$501,MATCH(C10,'가격표'!$A$2:$A$501,0),MATCH(E10,'가격표'!$D$1:$K$1,0))="","",INDEX('가격표'!$D$2:$K$501,MATCH(C10,'가격표'!$A$2:$A$501,0),MATCH(E10,'가격표'!$D$1:$K$1,0))),""))</f>
        <v/>
      </c>
      <c r="K10" s="4">
        <f>IF(C10="","",IFERROR(INDEX('판매구성'!$D$2:$D$501,MATCH(C10,'판매구성'!$A$2:$A$501,0)),""))</f>
        <v/>
      </c>
      <c r="L10" s="4">
        <f>IF(OR(J10="",K10=""),"",ROUND(J10-(J10-K10)*'설정'!$B$2,0))</f>
        <v/>
      </c>
      <c r="M10" s="4">
        <f>IF(OR(A10="",J10=""),"",ROUND(J10*N(IFERROR(INDEX('판매채널'!$F$2:$F$501,MATCH(A10,'판매채널'!$A$2:$A$501,0)),"")),0))</f>
        <v/>
      </c>
      <c r="N10" s="4">
        <f>IF(OR(J10="",K10=""),"",J10-M10-K10)</f>
        <v/>
      </c>
      <c r="O10" s="5">
        <f>IF(OR(J10="",J10=0),"",N10/J10)</f>
        <v/>
      </c>
    </row>
    <row r="11">
      <c r="B11" s="2">
        <f>IF(A11="","",IFERROR(INDEX('판매채널'!$B$2:$B$501,MATCH(A11,'판매채널'!$A$2:$A$501,0)),""))</f>
        <v/>
      </c>
      <c r="D11" s="2">
        <f>IF(C11="","",IFERROR(INDEX('판매구성'!$B$2:$B$501,MATCH(C11,'판매구성'!$A$2:$A$501,0)),""))</f>
        <v/>
      </c>
      <c r="G11" s="3" t="n"/>
      <c r="I11" s="2">
        <f>IF(C11="","",IFERROR(INDEX('판매구성'!$C$2:$C$501,MATCH(C11,'판매구성'!$A$2:$A$501,0)),""))</f>
        <v/>
      </c>
      <c r="J11" s="4">
        <f>IF(OR(C11="",E11=""),"",IFERROR(IF(INDEX('가격표'!$D$2:$K$501,MATCH(C11,'가격표'!$A$2:$A$501,0),MATCH(E11,'가격표'!$D$1:$K$1,0))="","",INDEX('가격표'!$D$2:$K$501,MATCH(C11,'가격표'!$A$2:$A$501,0),MATCH(E11,'가격표'!$D$1:$K$1,0))),""))</f>
        <v/>
      </c>
      <c r="K11" s="4">
        <f>IF(C11="","",IFERROR(INDEX('판매구성'!$D$2:$D$501,MATCH(C11,'판매구성'!$A$2:$A$501,0)),""))</f>
        <v/>
      </c>
      <c r="L11" s="4">
        <f>IF(OR(J11="",K11=""),"",ROUND(J11-(J11-K11)*'설정'!$B$2,0))</f>
        <v/>
      </c>
      <c r="M11" s="4">
        <f>IF(OR(A11="",J11=""),"",ROUND(J11*N(IFERROR(INDEX('판매채널'!$F$2:$F$501,MATCH(A11,'판매채널'!$A$2:$A$501,0)),"")),0))</f>
        <v/>
      </c>
      <c r="N11" s="4">
        <f>IF(OR(J11="",K11=""),"",J11-M11-K11)</f>
        <v/>
      </c>
      <c r="O11" s="5">
        <f>IF(OR(J11="",J11=0),"",N11/J11)</f>
        <v/>
      </c>
    </row>
    <row r="12">
      <c r="B12" s="2">
        <f>IF(A12="","",IFERROR(INDEX('판매채널'!$B$2:$B$501,MATCH(A12,'판매채널'!$A$2:$A$501,0)),""))</f>
        <v/>
      </c>
      <c r="D12" s="2">
        <f>IF(C12="","",IFERROR(INDEX('판매구성'!$B$2:$B$501,MATCH(C12,'판매구성'!$A$2:$A$501,0)),""))</f>
        <v/>
      </c>
      <c r="G12" s="3" t="n"/>
      <c r="I12" s="2">
        <f>IF(C12="","",IFERROR(INDEX('판매구성'!$C$2:$C$501,MATCH(C12,'판매구성'!$A$2:$A$501,0)),""))</f>
        <v/>
      </c>
      <c r="J12" s="4">
        <f>IF(OR(C12="",E12=""),"",IFERROR(IF(INDEX('가격표'!$D$2:$K$501,MATCH(C12,'가격표'!$A$2:$A$501,0),MATCH(E12,'가격표'!$D$1:$K$1,0))="","",INDEX('가격표'!$D$2:$K$501,MATCH(C12,'가격표'!$A$2:$A$501,0),MATCH(E12,'가격표'!$D$1:$K$1,0))),""))</f>
        <v/>
      </c>
      <c r="K12" s="4">
        <f>IF(C12="","",IFERROR(INDEX('판매구성'!$D$2:$D$501,MATCH(C12,'판매구성'!$A$2:$A$501,0)),""))</f>
        <v/>
      </c>
      <c r="L12" s="4">
        <f>IF(OR(J12="",K12=""),"",ROUND(J12-(J12-K12)*'설정'!$B$2,0))</f>
        <v/>
      </c>
      <c r="M12" s="4">
        <f>IF(OR(A12="",J12=""),"",ROUND(J12*N(IFERROR(INDEX('판매채널'!$F$2:$F$501,MATCH(A12,'판매채널'!$A$2:$A$501,0)),"")),0))</f>
        <v/>
      </c>
      <c r="N12" s="4">
        <f>IF(OR(J12="",K12=""),"",J12-M12-K12)</f>
        <v/>
      </c>
      <c r="O12" s="5">
        <f>IF(OR(J12="",J12=0),"",N12/J12)</f>
        <v/>
      </c>
    </row>
    <row r="13">
      <c r="B13" s="2">
        <f>IF(A13="","",IFERROR(INDEX('판매채널'!$B$2:$B$501,MATCH(A13,'판매채널'!$A$2:$A$501,0)),""))</f>
        <v/>
      </c>
      <c r="D13" s="2">
        <f>IF(C13="","",IFERROR(INDEX('판매구성'!$B$2:$B$501,MATCH(C13,'판매구성'!$A$2:$A$501,0)),""))</f>
        <v/>
      </c>
      <c r="G13" s="3" t="n"/>
      <c r="I13" s="2">
        <f>IF(C13="","",IFERROR(INDEX('판매구성'!$C$2:$C$501,MATCH(C13,'판매구성'!$A$2:$A$501,0)),""))</f>
        <v/>
      </c>
      <c r="J13" s="4">
        <f>IF(OR(C13="",E13=""),"",IFERROR(IF(INDEX('가격표'!$D$2:$K$501,MATCH(C13,'가격표'!$A$2:$A$501,0),MATCH(E13,'가격표'!$D$1:$K$1,0))="","",INDEX('가격표'!$D$2:$K$501,MATCH(C13,'가격표'!$A$2:$A$501,0),MATCH(E13,'가격표'!$D$1:$K$1,0))),""))</f>
        <v/>
      </c>
      <c r="K13" s="4">
        <f>IF(C13="","",IFERROR(INDEX('판매구성'!$D$2:$D$501,MATCH(C13,'판매구성'!$A$2:$A$501,0)),""))</f>
        <v/>
      </c>
      <c r="L13" s="4">
        <f>IF(OR(J13="",K13=""),"",ROUND(J13-(J13-K13)*'설정'!$B$2,0))</f>
        <v/>
      </c>
      <c r="M13" s="4">
        <f>IF(OR(A13="",J13=""),"",ROUND(J13*N(IFERROR(INDEX('판매채널'!$F$2:$F$501,MATCH(A13,'판매채널'!$A$2:$A$501,0)),"")),0))</f>
        <v/>
      </c>
      <c r="N13" s="4">
        <f>IF(OR(J13="",K13=""),"",J13-M13-K13)</f>
        <v/>
      </c>
      <c r="O13" s="5">
        <f>IF(OR(J13="",J13=0),"",N13/J13)</f>
        <v/>
      </c>
    </row>
    <row r="14">
      <c r="B14" s="2">
        <f>IF(A14="","",IFERROR(INDEX('판매채널'!$B$2:$B$501,MATCH(A14,'판매채널'!$A$2:$A$501,0)),""))</f>
        <v/>
      </c>
      <c r="D14" s="2">
        <f>IF(C14="","",IFERROR(INDEX('판매구성'!$B$2:$B$501,MATCH(C14,'판매구성'!$A$2:$A$501,0)),""))</f>
        <v/>
      </c>
      <c r="G14" s="3" t="n"/>
      <c r="I14" s="2">
        <f>IF(C14="","",IFERROR(INDEX('판매구성'!$C$2:$C$501,MATCH(C14,'판매구성'!$A$2:$A$501,0)),""))</f>
        <v/>
      </c>
      <c r="J14" s="4">
        <f>IF(OR(C14="",E14=""),"",IFERROR(IF(INDEX('가격표'!$D$2:$K$501,MATCH(C14,'가격표'!$A$2:$A$501,0),MATCH(E14,'가격표'!$D$1:$K$1,0))="","",INDEX('가격표'!$D$2:$K$501,MATCH(C14,'가격표'!$A$2:$A$501,0),MATCH(E14,'가격표'!$D$1:$K$1,0))),""))</f>
        <v/>
      </c>
      <c r="K14" s="4">
        <f>IF(C14="","",IFERROR(INDEX('판매구성'!$D$2:$D$501,MATCH(C14,'판매구성'!$A$2:$A$501,0)),""))</f>
        <v/>
      </c>
      <c r="L14" s="4">
        <f>IF(OR(J14="",K14=""),"",ROUND(J14-(J14-K14)*'설정'!$B$2,0))</f>
        <v/>
      </c>
      <c r="M14" s="4">
        <f>IF(OR(A14="",J14=""),"",ROUND(J14*N(IFERROR(INDEX('판매채널'!$F$2:$F$501,MATCH(A14,'판매채널'!$A$2:$A$501,0)),"")),0))</f>
        <v/>
      </c>
      <c r="N14" s="4">
        <f>IF(OR(J14="",K14=""),"",J14-M14-K14)</f>
        <v/>
      </c>
      <c r="O14" s="5">
        <f>IF(OR(J14="",J14=0),"",N14/J14)</f>
        <v/>
      </c>
    </row>
    <row r="15">
      <c r="B15" s="2">
        <f>IF(A15="","",IFERROR(INDEX('판매채널'!$B$2:$B$501,MATCH(A15,'판매채널'!$A$2:$A$501,0)),""))</f>
        <v/>
      </c>
      <c r="D15" s="2">
        <f>IF(C15="","",IFERROR(INDEX('판매구성'!$B$2:$B$501,MATCH(C15,'판매구성'!$A$2:$A$501,0)),""))</f>
        <v/>
      </c>
      <c r="G15" s="3" t="n"/>
      <c r="I15" s="2">
        <f>IF(C15="","",IFERROR(INDEX('판매구성'!$C$2:$C$501,MATCH(C15,'판매구성'!$A$2:$A$501,0)),""))</f>
        <v/>
      </c>
      <c r="J15" s="4">
        <f>IF(OR(C15="",E15=""),"",IFERROR(IF(INDEX('가격표'!$D$2:$K$501,MATCH(C15,'가격표'!$A$2:$A$501,0),MATCH(E15,'가격표'!$D$1:$K$1,0))="","",INDEX('가격표'!$D$2:$K$501,MATCH(C15,'가격표'!$A$2:$A$501,0),MATCH(E15,'가격표'!$D$1:$K$1,0))),""))</f>
        <v/>
      </c>
      <c r="K15" s="4">
        <f>IF(C15="","",IFERROR(INDEX('판매구성'!$D$2:$D$501,MATCH(C15,'판매구성'!$A$2:$A$501,0)),""))</f>
        <v/>
      </c>
      <c r="L15" s="4">
        <f>IF(OR(J15="",K15=""),"",ROUND(J15-(J15-K15)*'설정'!$B$2,0))</f>
        <v/>
      </c>
      <c r="M15" s="4">
        <f>IF(OR(A15="",J15=""),"",ROUND(J15*N(IFERROR(INDEX('판매채널'!$F$2:$F$501,MATCH(A15,'판매채널'!$A$2:$A$501,0)),"")),0))</f>
        <v/>
      </c>
      <c r="N15" s="4">
        <f>IF(OR(J15="",K15=""),"",J15-M15-K15)</f>
        <v/>
      </c>
      <c r="O15" s="5">
        <f>IF(OR(J15="",J15=0),"",N15/J15)</f>
        <v/>
      </c>
    </row>
    <row r="16">
      <c r="B16" s="2">
        <f>IF(A16="","",IFERROR(INDEX('판매채널'!$B$2:$B$501,MATCH(A16,'판매채널'!$A$2:$A$501,0)),""))</f>
        <v/>
      </c>
      <c r="D16" s="2">
        <f>IF(C16="","",IFERROR(INDEX('판매구성'!$B$2:$B$501,MATCH(C16,'판매구성'!$A$2:$A$501,0)),""))</f>
        <v/>
      </c>
      <c r="G16" s="3" t="n"/>
      <c r="I16" s="2">
        <f>IF(C16="","",IFERROR(INDEX('판매구성'!$C$2:$C$501,MATCH(C16,'판매구성'!$A$2:$A$501,0)),""))</f>
        <v/>
      </c>
      <c r="J16" s="4">
        <f>IF(OR(C16="",E16=""),"",IFERROR(IF(INDEX('가격표'!$D$2:$K$501,MATCH(C16,'가격표'!$A$2:$A$501,0),MATCH(E16,'가격표'!$D$1:$K$1,0))="","",INDEX('가격표'!$D$2:$K$501,MATCH(C16,'가격표'!$A$2:$A$501,0),MATCH(E16,'가격표'!$D$1:$K$1,0))),""))</f>
        <v/>
      </c>
      <c r="K16" s="4">
        <f>IF(C16="","",IFERROR(INDEX('판매구성'!$D$2:$D$501,MATCH(C16,'판매구성'!$A$2:$A$501,0)),""))</f>
        <v/>
      </c>
      <c r="L16" s="4">
        <f>IF(OR(J16="",K16=""),"",ROUND(J16-(J16-K16)*'설정'!$B$2,0))</f>
        <v/>
      </c>
      <c r="M16" s="4">
        <f>IF(OR(A16="",J16=""),"",ROUND(J16*N(IFERROR(INDEX('판매채널'!$F$2:$F$501,MATCH(A16,'판매채널'!$A$2:$A$501,0)),"")),0))</f>
        <v/>
      </c>
      <c r="N16" s="4">
        <f>IF(OR(J16="",K16=""),"",J16-M16-K16)</f>
        <v/>
      </c>
      <c r="O16" s="5">
        <f>IF(OR(J16="",J16=0),"",N16/J16)</f>
        <v/>
      </c>
    </row>
    <row r="17">
      <c r="B17" s="2">
        <f>IF(A17="","",IFERROR(INDEX('판매채널'!$B$2:$B$501,MATCH(A17,'판매채널'!$A$2:$A$501,0)),""))</f>
        <v/>
      </c>
      <c r="D17" s="2">
        <f>IF(C17="","",IFERROR(INDEX('판매구성'!$B$2:$B$501,MATCH(C17,'판매구성'!$A$2:$A$501,0)),""))</f>
        <v/>
      </c>
      <c r="G17" s="3" t="n"/>
      <c r="I17" s="2">
        <f>IF(C17="","",IFERROR(INDEX('판매구성'!$C$2:$C$501,MATCH(C17,'판매구성'!$A$2:$A$501,0)),""))</f>
        <v/>
      </c>
      <c r="J17" s="4">
        <f>IF(OR(C17="",E17=""),"",IFERROR(IF(INDEX('가격표'!$D$2:$K$501,MATCH(C17,'가격표'!$A$2:$A$501,0),MATCH(E17,'가격표'!$D$1:$K$1,0))="","",INDEX('가격표'!$D$2:$K$501,MATCH(C17,'가격표'!$A$2:$A$501,0),MATCH(E17,'가격표'!$D$1:$K$1,0))),""))</f>
        <v/>
      </c>
      <c r="K17" s="4">
        <f>IF(C17="","",IFERROR(INDEX('판매구성'!$D$2:$D$501,MATCH(C17,'판매구성'!$A$2:$A$501,0)),""))</f>
        <v/>
      </c>
      <c r="L17" s="4">
        <f>IF(OR(J17="",K17=""),"",ROUND(J17-(J17-K17)*'설정'!$B$2,0))</f>
        <v/>
      </c>
      <c r="M17" s="4">
        <f>IF(OR(A17="",J17=""),"",ROUND(J17*N(IFERROR(INDEX('판매채널'!$F$2:$F$501,MATCH(A17,'판매채널'!$A$2:$A$501,0)),"")),0))</f>
        <v/>
      </c>
      <c r="N17" s="4">
        <f>IF(OR(J17="",K17=""),"",J17-M17-K17)</f>
        <v/>
      </c>
      <c r="O17" s="5">
        <f>IF(OR(J17="",J17=0),"",N17/J17)</f>
        <v/>
      </c>
    </row>
    <row r="18">
      <c r="B18" s="2">
        <f>IF(A18="","",IFERROR(INDEX('판매채널'!$B$2:$B$501,MATCH(A18,'판매채널'!$A$2:$A$501,0)),""))</f>
        <v/>
      </c>
      <c r="D18" s="2">
        <f>IF(C18="","",IFERROR(INDEX('판매구성'!$B$2:$B$501,MATCH(C18,'판매구성'!$A$2:$A$501,0)),""))</f>
        <v/>
      </c>
      <c r="G18" s="3" t="n"/>
      <c r="I18" s="2">
        <f>IF(C18="","",IFERROR(INDEX('판매구성'!$C$2:$C$501,MATCH(C18,'판매구성'!$A$2:$A$501,0)),""))</f>
        <v/>
      </c>
      <c r="J18" s="4">
        <f>IF(OR(C18="",E18=""),"",IFERROR(IF(INDEX('가격표'!$D$2:$K$501,MATCH(C18,'가격표'!$A$2:$A$501,0),MATCH(E18,'가격표'!$D$1:$K$1,0))="","",INDEX('가격표'!$D$2:$K$501,MATCH(C18,'가격표'!$A$2:$A$501,0),MATCH(E18,'가격표'!$D$1:$K$1,0))),""))</f>
        <v/>
      </c>
      <c r="K18" s="4">
        <f>IF(C18="","",IFERROR(INDEX('판매구성'!$D$2:$D$501,MATCH(C18,'판매구성'!$A$2:$A$501,0)),""))</f>
        <v/>
      </c>
      <c r="L18" s="4">
        <f>IF(OR(J18="",K18=""),"",ROUND(J18-(J18-K18)*'설정'!$B$2,0))</f>
        <v/>
      </c>
      <c r="M18" s="4">
        <f>IF(OR(A18="",J18=""),"",ROUND(J18*N(IFERROR(INDEX('판매채널'!$F$2:$F$501,MATCH(A18,'판매채널'!$A$2:$A$501,0)),"")),0))</f>
        <v/>
      </c>
      <c r="N18" s="4">
        <f>IF(OR(J18="",K18=""),"",J18-M18-K18)</f>
        <v/>
      </c>
      <c r="O18" s="5">
        <f>IF(OR(J18="",J18=0),"",N18/J18)</f>
        <v/>
      </c>
    </row>
    <row r="19">
      <c r="B19" s="2">
        <f>IF(A19="","",IFERROR(INDEX('판매채널'!$B$2:$B$501,MATCH(A19,'판매채널'!$A$2:$A$501,0)),""))</f>
        <v/>
      </c>
      <c r="D19" s="2">
        <f>IF(C19="","",IFERROR(INDEX('판매구성'!$B$2:$B$501,MATCH(C19,'판매구성'!$A$2:$A$501,0)),""))</f>
        <v/>
      </c>
      <c r="G19" s="3" t="n"/>
      <c r="I19" s="2">
        <f>IF(C19="","",IFERROR(INDEX('판매구성'!$C$2:$C$501,MATCH(C19,'판매구성'!$A$2:$A$501,0)),""))</f>
        <v/>
      </c>
      <c r="J19" s="4">
        <f>IF(OR(C19="",E19=""),"",IFERROR(IF(INDEX('가격표'!$D$2:$K$501,MATCH(C19,'가격표'!$A$2:$A$501,0),MATCH(E19,'가격표'!$D$1:$K$1,0))="","",INDEX('가격표'!$D$2:$K$501,MATCH(C19,'가격표'!$A$2:$A$501,0),MATCH(E19,'가격표'!$D$1:$K$1,0))),""))</f>
        <v/>
      </c>
      <c r="K19" s="4">
        <f>IF(C19="","",IFERROR(INDEX('판매구성'!$D$2:$D$501,MATCH(C19,'판매구성'!$A$2:$A$501,0)),""))</f>
        <v/>
      </c>
      <c r="L19" s="4">
        <f>IF(OR(J19="",K19=""),"",ROUND(J19-(J19-K19)*'설정'!$B$2,0))</f>
        <v/>
      </c>
      <c r="M19" s="4">
        <f>IF(OR(A19="",J19=""),"",ROUND(J19*N(IFERROR(INDEX('판매채널'!$F$2:$F$501,MATCH(A19,'판매채널'!$A$2:$A$501,0)),"")),0))</f>
        <v/>
      </c>
      <c r="N19" s="4">
        <f>IF(OR(J19="",K19=""),"",J19-M19-K19)</f>
        <v/>
      </c>
      <c r="O19" s="5">
        <f>IF(OR(J19="",J19=0),"",N19/J19)</f>
        <v/>
      </c>
    </row>
    <row r="20">
      <c r="B20" s="2">
        <f>IF(A20="","",IFERROR(INDEX('판매채널'!$B$2:$B$501,MATCH(A20,'판매채널'!$A$2:$A$501,0)),""))</f>
        <v/>
      </c>
      <c r="D20" s="2">
        <f>IF(C20="","",IFERROR(INDEX('판매구성'!$B$2:$B$501,MATCH(C20,'판매구성'!$A$2:$A$501,0)),""))</f>
        <v/>
      </c>
      <c r="G20" s="3" t="n"/>
      <c r="I20" s="2">
        <f>IF(C20="","",IFERROR(INDEX('판매구성'!$C$2:$C$501,MATCH(C20,'판매구성'!$A$2:$A$501,0)),""))</f>
        <v/>
      </c>
      <c r="J20" s="4">
        <f>IF(OR(C20="",E20=""),"",IFERROR(IF(INDEX('가격표'!$D$2:$K$501,MATCH(C20,'가격표'!$A$2:$A$501,0),MATCH(E20,'가격표'!$D$1:$K$1,0))="","",INDEX('가격표'!$D$2:$K$501,MATCH(C20,'가격표'!$A$2:$A$501,0),MATCH(E20,'가격표'!$D$1:$K$1,0))),""))</f>
        <v/>
      </c>
      <c r="K20" s="4">
        <f>IF(C20="","",IFERROR(INDEX('판매구성'!$D$2:$D$501,MATCH(C20,'판매구성'!$A$2:$A$501,0)),""))</f>
        <v/>
      </c>
      <c r="L20" s="4">
        <f>IF(OR(J20="",K20=""),"",ROUND(J20-(J20-K20)*'설정'!$B$2,0))</f>
        <v/>
      </c>
      <c r="M20" s="4">
        <f>IF(OR(A20="",J20=""),"",ROUND(J20*N(IFERROR(INDEX('판매채널'!$F$2:$F$501,MATCH(A20,'판매채널'!$A$2:$A$501,0)),"")),0))</f>
        <v/>
      </c>
      <c r="N20" s="4">
        <f>IF(OR(J20="",K20=""),"",J20-M20-K20)</f>
        <v/>
      </c>
      <c r="O20" s="5">
        <f>IF(OR(J20="",J20=0),"",N20/J20)</f>
        <v/>
      </c>
    </row>
    <row r="21">
      <c r="B21" s="2">
        <f>IF(A21="","",IFERROR(INDEX('판매채널'!$B$2:$B$501,MATCH(A21,'판매채널'!$A$2:$A$501,0)),""))</f>
        <v/>
      </c>
      <c r="D21" s="2">
        <f>IF(C21="","",IFERROR(INDEX('판매구성'!$B$2:$B$501,MATCH(C21,'판매구성'!$A$2:$A$501,0)),""))</f>
        <v/>
      </c>
      <c r="G21" s="3" t="n"/>
      <c r="I21" s="2">
        <f>IF(C21="","",IFERROR(INDEX('판매구성'!$C$2:$C$501,MATCH(C21,'판매구성'!$A$2:$A$501,0)),""))</f>
        <v/>
      </c>
      <c r="J21" s="4">
        <f>IF(OR(C21="",E21=""),"",IFERROR(IF(INDEX('가격표'!$D$2:$K$501,MATCH(C21,'가격표'!$A$2:$A$501,0),MATCH(E21,'가격표'!$D$1:$K$1,0))="","",INDEX('가격표'!$D$2:$K$501,MATCH(C21,'가격표'!$A$2:$A$501,0),MATCH(E21,'가격표'!$D$1:$K$1,0))),""))</f>
        <v/>
      </c>
      <c r="K21" s="4">
        <f>IF(C21="","",IFERROR(INDEX('판매구성'!$D$2:$D$501,MATCH(C21,'판매구성'!$A$2:$A$501,0)),""))</f>
        <v/>
      </c>
      <c r="L21" s="4">
        <f>IF(OR(J21="",K21=""),"",ROUND(J21-(J21-K21)*'설정'!$B$2,0))</f>
        <v/>
      </c>
      <c r="M21" s="4">
        <f>IF(OR(A21="",J21=""),"",ROUND(J21*N(IFERROR(INDEX('판매채널'!$F$2:$F$501,MATCH(A21,'판매채널'!$A$2:$A$501,0)),"")),0))</f>
        <v/>
      </c>
      <c r="N21" s="4">
        <f>IF(OR(J21="",K21=""),"",J21-M21-K21)</f>
        <v/>
      </c>
      <c r="O21" s="5">
        <f>IF(OR(J21="",J21=0),"",N21/J21)</f>
        <v/>
      </c>
    </row>
    <row r="22">
      <c r="B22" s="2">
        <f>IF(A22="","",IFERROR(INDEX('판매채널'!$B$2:$B$501,MATCH(A22,'판매채널'!$A$2:$A$501,0)),""))</f>
        <v/>
      </c>
      <c r="D22" s="2">
        <f>IF(C22="","",IFERROR(INDEX('판매구성'!$B$2:$B$501,MATCH(C22,'판매구성'!$A$2:$A$501,0)),""))</f>
        <v/>
      </c>
      <c r="G22" s="3" t="n"/>
      <c r="I22" s="2">
        <f>IF(C22="","",IFERROR(INDEX('판매구성'!$C$2:$C$501,MATCH(C22,'판매구성'!$A$2:$A$501,0)),""))</f>
        <v/>
      </c>
      <c r="J22" s="4">
        <f>IF(OR(C22="",E22=""),"",IFERROR(IF(INDEX('가격표'!$D$2:$K$501,MATCH(C22,'가격표'!$A$2:$A$501,0),MATCH(E22,'가격표'!$D$1:$K$1,0))="","",INDEX('가격표'!$D$2:$K$501,MATCH(C22,'가격표'!$A$2:$A$501,0),MATCH(E22,'가격표'!$D$1:$K$1,0))),""))</f>
        <v/>
      </c>
      <c r="K22" s="4">
        <f>IF(C22="","",IFERROR(INDEX('판매구성'!$D$2:$D$501,MATCH(C22,'판매구성'!$A$2:$A$501,0)),""))</f>
        <v/>
      </c>
      <c r="L22" s="4">
        <f>IF(OR(J22="",K22=""),"",ROUND(J22-(J22-K22)*'설정'!$B$2,0))</f>
        <v/>
      </c>
      <c r="M22" s="4">
        <f>IF(OR(A22="",J22=""),"",ROUND(J22*N(IFERROR(INDEX('판매채널'!$F$2:$F$501,MATCH(A22,'판매채널'!$A$2:$A$501,0)),"")),0))</f>
        <v/>
      </c>
      <c r="N22" s="4">
        <f>IF(OR(J22="",K22=""),"",J22-M22-K22)</f>
        <v/>
      </c>
      <c r="O22" s="5">
        <f>IF(OR(J22="",J22=0),"",N22/J22)</f>
        <v/>
      </c>
    </row>
    <row r="23">
      <c r="B23" s="2">
        <f>IF(A23="","",IFERROR(INDEX('판매채널'!$B$2:$B$501,MATCH(A23,'판매채널'!$A$2:$A$501,0)),""))</f>
        <v/>
      </c>
      <c r="D23" s="2">
        <f>IF(C23="","",IFERROR(INDEX('판매구성'!$B$2:$B$501,MATCH(C23,'판매구성'!$A$2:$A$501,0)),""))</f>
        <v/>
      </c>
      <c r="G23" s="3" t="n"/>
      <c r="I23" s="2">
        <f>IF(C23="","",IFERROR(INDEX('판매구성'!$C$2:$C$501,MATCH(C23,'판매구성'!$A$2:$A$501,0)),""))</f>
        <v/>
      </c>
      <c r="J23" s="4">
        <f>IF(OR(C23="",E23=""),"",IFERROR(IF(INDEX('가격표'!$D$2:$K$501,MATCH(C23,'가격표'!$A$2:$A$501,0),MATCH(E23,'가격표'!$D$1:$K$1,0))="","",INDEX('가격표'!$D$2:$K$501,MATCH(C23,'가격표'!$A$2:$A$501,0),MATCH(E23,'가격표'!$D$1:$K$1,0))),""))</f>
        <v/>
      </c>
      <c r="K23" s="4">
        <f>IF(C23="","",IFERROR(INDEX('판매구성'!$D$2:$D$501,MATCH(C23,'판매구성'!$A$2:$A$501,0)),""))</f>
        <v/>
      </c>
      <c r="L23" s="4">
        <f>IF(OR(J23="",K23=""),"",ROUND(J23-(J23-K23)*'설정'!$B$2,0))</f>
        <v/>
      </c>
      <c r="M23" s="4">
        <f>IF(OR(A23="",J23=""),"",ROUND(J23*N(IFERROR(INDEX('판매채널'!$F$2:$F$501,MATCH(A23,'판매채널'!$A$2:$A$501,0)),"")),0))</f>
        <v/>
      </c>
      <c r="N23" s="4">
        <f>IF(OR(J23="",K23=""),"",J23-M23-K23)</f>
        <v/>
      </c>
      <c r="O23" s="5">
        <f>IF(OR(J23="",J23=0),"",N23/J23)</f>
        <v/>
      </c>
    </row>
    <row r="24">
      <c r="B24" s="2">
        <f>IF(A24="","",IFERROR(INDEX('판매채널'!$B$2:$B$501,MATCH(A24,'판매채널'!$A$2:$A$501,0)),""))</f>
        <v/>
      </c>
      <c r="D24" s="2">
        <f>IF(C24="","",IFERROR(INDEX('판매구성'!$B$2:$B$501,MATCH(C24,'판매구성'!$A$2:$A$501,0)),""))</f>
        <v/>
      </c>
      <c r="G24" s="3" t="n"/>
      <c r="I24" s="2">
        <f>IF(C24="","",IFERROR(INDEX('판매구성'!$C$2:$C$501,MATCH(C24,'판매구성'!$A$2:$A$501,0)),""))</f>
        <v/>
      </c>
      <c r="J24" s="4">
        <f>IF(OR(C24="",E24=""),"",IFERROR(IF(INDEX('가격표'!$D$2:$K$501,MATCH(C24,'가격표'!$A$2:$A$501,0),MATCH(E24,'가격표'!$D$1:$K$1,0))="","",INDEX('가격표'!$D$2:$K$501,MATCH(C24,'가격표'!$A$2:$A$501,0),MATCH(E24,'가격표'!$D$1:$K$1,0))),""))</f>
        <v/>
      </c>
      <c r="K24" s="4">
        <f>IF(C24="","",IFERROR(INDEX('판매구성'!$D$2:$D$501,MATCH(C24,'판매구성'!$A$2:$A$501,0)),""))</f>
        <v/>
      </c>
      <c r="L24" s="4">
        <f>IF(OR(J24="",K24=""),"",ROUND(J24-(J24-K24)*'설정'!$B$2,0))</f>
        <v/>
      </c>
      <c r="M24" s="4">
        <f>IF(OR(A24="",J24=""),"",ROUND(J24*N(IFERROR(INDEX('판매채널'!$F$2:$F$501,MATCH(A24,'판매채널'!$A$2:$A$501,0)),"")),0))</f>
        <v/>
      </c>
      <c r="N24" s="4">
        <f>IF(OR(J24="",K24=""),"",J24-M24-K24)</f>
        <v/>
      </c>
      <c r="O24" s="5">
        <f>IF(OR(J24="",J24=0),"",N24/J24)</f>
        <v/>
      </c>
    </row>
    <row r="25">
      <c r="B25" s="2">
        <f>IF(A25="","",IFERROR(INDEX('판매채널'!$B$2:$B$501,MATCH(A25,'판매채널'!$A$2:$A$501,0)),""))</f>
        <v/>
      </c>
      <c r="D25" s="2">
        <f>IF(C25="","",IFERROR(INDEX('판매구성'!$B$2:$B$501,MATCH(C25,'판매구성'!$A$2:$A$501,0)),""))</f>
        <v/>
      </c>
      <c r="G25" s="3" t="n"/>
      <c r="I25" s="2">
        <f>IF(C25="","",IFERROR(INDEX('판매구성'!$C$2:$C$501,MATCH(C25,'판매구성'!$A$2:$A$501,0)),""))</f>
        <v/>
      </c>
      <c r="J25" s="4">
        <f>IF(OR(C25="",E25=""),"",IFERROR(IF(INDEX('가격표'!$D$2:$K$501,MATCH(C25,'가격표'!$A$2:$A$501,0),MATCH(E25,'가격표'!$D$1:$K$1,0))="","",INDEX('가격표'!$D$2:$K$501,MATCH(C25,'가격표'!$A$2:$A$501,0),MATCH(E25,'가격표'!$D$1:$K$1,0))),""))</f>
        <v/>
      </c>
      <c r="K25" s="4">
        <f>IF(C25="","",IFERROR(INDEX('판매구성'!$D$2:$D$501,MATCH(C25,'판매구성'!$A$2:$A$501,0)),""))</f>
        <v/>
      </c>
      <c r="L25" s="4">
        <f>IF(OR(J25="",K25=""),"",ROUND(J25-(J25-K25)*'설정'!$B$2,0))</f>
        <v/>
      </c>
      <c r="M25" s="4">
        <f>IF(OR(A25="",J25=""),"",ROUND(J25*N(IFERROR(INDEX('판매채널'!$F$2:$F$501,MATCH(A25,'판매채널'!$A$2:$A$501,0)),"")),0))</f>
        <v/>
      </c>
      <c r="N25" s="4">
        <f>IF(OR(J25="",K25=""),"",J25-M25-K25)</f>
        <v/>
      </c>
      <c r="O25" s="5">
        <f>IF(OR(J25="",J25=0),"",N25/J25)</f>
        <v/>
      </c>
    </row>
    <row r="26">
      <c r="B26" s="2">
        <f>IF(A26="","",IFERROR(INDEX('판매채널'!$B$2:$B$501,MATCH(A26,'판매채널'!$A$2:$A$501,0)),""))</f>
        <v/>
      </c>
      <c r="D26" s="2">
        <f>IF(C26="","",IFERROR(INDEX('판매구성'!$B$2:$B$501,MATCH(C26,'판매구성'!$A$2:$A$501,0)),""))</f>
        <v/>
      </c>
      <c r="G26" s="3" t="n"/>
      <c r="I26" s="2">
        <f>IF(C26="","",IFERROR(INDEX('판매구성'!$C$2:$C$501,MATCH(C26,'판매구성'!$A$2:$A$501,0)),""))</f>
        <v/>
      </c>
      <c r="J26" s="4">
        <f>IF(OR(C26="",E26=""),"",IFERROR(IF(INDEX('가격표'!$D$2:$K$501,MATCH(C26,'가격표'!$A$2:$A$501,0),MATCH(E26,'가격표'!$D$1:$K$1,0))="","",INDEX('가격표'!$D$2:$K$501,MATCH(C26,'가격표'!$A$2:$A$501,0),MATCH(E26,'가격표'!$D$1:$K$1,0))),""))</f>
        <v/>
      </c>
      <c r="K26" s="4">
        <f>IF(C26="","",IFERROR(INDEX('판매구성'!$D$2:$D$501,MATCH(C26,'판매구성'!$A$2:$A$501,0)),""))</f>
        <v/>
      </c>
      <c r="L26" s="4">
        <f>IF(OR(J26="",K26=""),"",ROUND(J26-(J26-K26)*'설정'!$B$2,0))</f>
        <v/>
      </c>
      <c r="M26" s="4">
        <f>IF(OR(A26="",J26=""),"",ROUND(J26*N(IFERROR(INDEX('판매채널'!$F$2:$F$501,MATCH(A26,'판매채널'!$A$2:$A$501,0)),"")),0))</f>
        <v/>
      </c>
      <c r="N26" s="4">
        <f>IF(OR(J26="",K26=""),"",J26-M26-K26)</f>
        <v/>
      </c>
      <c r="O26" s="5">
        <f>IF(OR(J26="",J26=0),"",N26/J26)</f>
        <v/>
      </c>
    </row>
    <row r="27">
      <c r="B27" s="2">
        <f>IF(A27="","",IFERROR(INDEX('판매채널'!$B$2:$B$501,MATCH(A27,'판매채널'!$A$2:$A$501,0)),""))</f>
        <v/>
      </c>
      <c r="D27" s="2">
        <f>IF(C27="","",IFERROR(INDEX('판매구성'!$B$2:$B$501,MATCH(C27,'판매구성'!$A$2:$A$501,0)),""))</f>
        <v/>
      </c>
      <c r="G27" s="3" t="n"/>
      <c r="I27" s="2">
        <f>IF(C27="","",IFERROR(INDEX('판매구성'!$C$2:$C$501,MATCH(C27,'판매구성'!$A$2:$A$501,0)),""))</f>
        <v/>
      </c>
      <c r="J27" s="4">
        <f>IF(OR(C27="",E27=""),"",IFERROR(IF(INDEX('가격표'!$D$2:$K$501,MATCH(C27,'가격표'!$A$2:$A$501,0),MATCH(E27,'가격표'!$D$1:$K$1,0))="","",INDEX('가격표'!$D$2:$K$501,MATCH(C27,'가격표'!$A$2:$A$501,0),MATCH(E27,'가격표'!$D$1:$K$1,0))),""))</f>
        <v/>
      </c>
      <c r="K27" s="4">
        <f>IF(C27="","",IFERROR(INDEX('판매구성'!$D$2:$D$501,MATCH(C27,'판매구성'!$A$2:$A$501,0)),""))</f>
        <v/>
      </c>
      <c r="L27" s="4">
        <f>IF(OR(J27="",K27=""),"",ROUND(J27-(J27-K27)*'설정'!$B$2,0))</f>
        <v/>
      </c>
      <c r="M27" s="4">
        <f>IF(OR(A27="",J27=""),"",ROUND(J27*N(IFERROR(INDEX('판매채널'!$F$2:$F$501,MATCH(A27,'판매채널'!$A$2:$A$501,0)),"")),0))</f>
        <v/>
      </c>
      <c r="N27" s="4">
        <f>IF(OR(J27="",K27=""),"",J27-M27-K27)</f>
        <v/>
      </c>
      <c r="O27" s="5">
        <f>IF(OR(J27="",J27=0),"",N27/J27)</f>
        <v/>
      </c>
    </row>
    <row r="28">
      <c r="B28" s="2">
        <f>IF(A28="","",IFERROR(INDEX('판매채널'!$B$2:$B$501,MATCH(A28,'판매채널'!$A$2:$A$501,0)),""))</f>
        <v/>
      </c>
      <c r="D28" s="2">
        <f>IF(C28="","",IFERROR(INDEX('판매구성'!$B$2:$B$501,MATCH(C28,'판매구성'!$A$2:$A$501,0)),""))</f>
        <v/>
      </c>
      <c r="G28" s="3" t="n"/>
      <c r="I28" s="2">
        <f>IF(C28="","",IFERROR(INDEX('판매구성'!$C$2:$C$501,MATCH(C28,'판매구성'!$A$2:$A$501,0)),""))</f>
        <v/>
      </c>
      <c r="J28" s="4">
        <f>IF(OR(C28="",E28=""),"",IFERROR(IF(INDEX('가격표'!$D$2:$K$501,MATCH(C28,'가격표'!$A$2:$A$501,0),MATCH(E28,'가격표'!$D$1:$K$1,0))="","",INDEX('가격표'!$D$2:$K$501,MATCH(C28,'가격표'!$A$2:$A$501,0),MATCH(E28,'가격표'!$D$1:$K$1,0))),""))</f>
        <v/>
      </c>
      <c r="K28" s="4">
        <f>IF(C28="","",IFERROR(INDEX('판매구성'!$D$2:$D$501,MATCH(C28,'판매구성'!$A$2:$A$501,0)),""))</f>
        <v/>
      </c>
      <c r="L28" s="4">
        <f>IF(OR(J28="",K28=""),"",ROUND(J28-(J28-K28)*'설정'!$B$2,0))</f>
        <v/>
      </c>
      <c r="M28" s="4">
        <f>IF(OR(A28="",J28=""),"",ROUND(J28*N(IFERROR(INDEX('판매채널'!$F$2:$F$501,MATCH(A28,'판매채널'!$A$2:$A$501,0)),"")),0))</f>
        <v/>
      </c>
      <c r="N28" s="4">
        <f>IF(OR(J28="",K28=""),"",J28-M28-K28)</f>
        <v/>
      </c>
      <c r="O28" s="5">
        <f>IF(OR(J28="",J28=0),"",N28/J28)</f>
        <v/>
      </c>
    </row>
    <row r="29">
      <c r="B29" s="2">
        <f>IF(A29="","",IFERROR(INDEX('판매채널'!$B$2:$B$501,MATCH(A29,'판매채널'!$A$2:$A$501,0)),""))</f>
        <v/>
      </c>
      <c r="D29" s="2">
        <f>IF(C29="","",IFERROR(INDEX('판매구성'!$B$2:$B$501,MATCH(C29,'판매구성'!$A$2:$A$501,0)),""))</f>
        <v/>
      </c>
      <c r="G29" s="3" t="n"/>
      <c r="I29" s="2">
        <f>IF(C29="","",IFERROR(INDEX('판매구성'!$C$2:$C$501,MATCH(C29,'판매구성'!$A$2:$A$501,0)),""))</f>
        <v/>
      </c>
      <c r="J29" s="4">
        <f>IF(OR(C29="",E29=""),"",IFERROR(IF(INDEX('가격표'!$D$2:$K$501,MATCH(C29,'가격표'!$A$2:$A$501,0),MATCH(E29,'가격표'!$D$1:$K$1,0))="","",INDEX('가격표'!$D$2:$K$501,MATCH(C29,'가격표'!$A$2:$A$501,0),MATCH(E29,'가격표'!$D$1:$K$1,0))),""))</f>
        <v/>
      </c>
      <c r="K29" s="4">
        <f>IF(C29="","",IFERROR(INDEX('판매구성'!$D$2:$D$501,MATCH(C29,'판매구성'!$A$2:$A$501,0)),""))</f>
        <v/>
      </c>
      <c r="L29" s="4">
        <f>IF(OR(J29="",K29=""),"",ROUND(J29-(J29-K29)*'설정'!$B$2,0))</f>
        <v/>
      </c>
      <c r="M29" s="4">
        <f>IF(OR(A29="",J29=""),"",ROUND(J29*N(IFERROR(INDEX('판매채널'!$F$2:$F$501,MATCH(A29,'판매채널'!$A$2:$A$501,0)),"")),0))</f>
        <v/>
      </c>
      <c r="N29" s="4">
        <f>IF(OR(J29="",K29=""),"",J29-M29-K29)</f>
        <v/>
      </c>
      <c r="O29" s="5">
        <f>IF(OR(J29="",J29=0),"",N29/J29)</f>
        <v/>
      </c>
    </row>
    <row r="30">
      <c r="B30" s="2">
        <f>IF(A30="","",IFERROR(INDEX('판매채널'!$B$2:$B$501,MATCH(A30,'판매채널'!$A$2:$A$501,0)),""))</f>
        <v/>
      </c>
      <c r="D30" s="2">
        <f>IF(C30="","",IFERROR(INDEX('판매구성'!$B$2:$B$501,MATCH(C30,'판매구성'!$A$2:$A$501,0)),""))</f>
        <v/>
      </c>
      <c r="G30" s="3" t="n"/>
      <c r="I30" s="2">
        <f>IF(C30="","",IFERROR(INDEX('판매구성'!$C$2:$C$501,MATCH(C30,'판매구성'!$A$2:$A$501,0)),""))</f>
        <v/>
      </c>
      <c r="J30" s="4">
        <f>IF(OR(C30="",E30=""),"",IFERROR(IF(INDEX('가격표'!$D$2:$K$501,MATCH(C30,'가격표'!$A$2:$A$501,0),MATCH(E30,'가격표'!$D$1:$K$1,0))="","",INDEX('가격표'!$D$2:$K$501,MATCH(C30,'가격표'!$A$2:$A$501,0),MATCH(E30,'가격표'!$D$1:$K$1,0))),""))</f>
        <v/>
      </c>
      <c r="K30" s="4">
        <f>IF(C30="","",IFERROR(INDEX('판매구성'!$D$2:$D$501,MATCH(C30,'판매구성'!$A$2:$A$501,0)),""))</f>
        <v/>
      </c>
      <c r="L30" s="4">
        <f>IF(OR(J30="",K30=""),"",ROUND(J30-(J30-K30)*'설정'!$B$2,0))</f>
        <v/>
      </c>
      <c r="M30" s="4">
        <f>IF(OR(A30="",J30=""),"",ROUND(J30*N(IFERROR(INDEX('판매채널'!$F$2:$F$501,MATCH(A30,'판매채널'!$A$2:$A$501,0)),"")),0))</f>
        <v/>
      </c>
      <c r="N30" s="4">
        <f>IF(OR(J30="",K30=""),"",J30-M30-K30)</f>
        <v/>
      </c>
      <c r="O30" s="5">
        <f>IF(OR(J30="",J30=0),"",N30/J30)</f>
        <v/>
      </c>
    </row>
    <row r="31">
      <c r="B31" s="2">
        <f>IF(A31="","",IFERROR(INDEX('판매채널'!$B$2:$B$501,MATCH(A31,'판매채널'!$A$2:$A$501,0)),""))</f>
        <v/>
      </c>
      <c r="D31" s="2">
        <f>IF(C31="","",IFERROR(INDEX('판매구성'!$B$2:$B$501,MATCH(C31,'판매구성'!$A$2:$A$501,0)),""))</f>
        <v/>
      </c>
      <c r="G31" s="3" t="n"/>
      <c r="I31" s="2">
        <f>IF(C31="","",IFERROR(INDEX('판매구성'!$C$2:$C$501,MATCH(C31,'판매구성'!$A$2:$A$501,0)),""))</f>
        <v/>
      </c>
      <c r="J31" s="4">
        <f>IF(OR(C31="",E31=""),"",IFERROR(IF(INDEX('가격표'!$D$2:$K$501,MATCH(C31,'가격표'!$A$2:$A$501,0),MATCH(E31,'가격표'!$D$1:$K$1,0))="","",INDEX('가격표'!$D$2:$K$501,MATCH(C31,'가격표'!$A$2:$A$501,0),MATCH(E31,'가격표'!$D$1:$K$1,0))),""))</f>
        <v/>
      </c>
      <c r="K31" s="4">
        <f>IF(C31="","",IFERROR(INDEX('판매구성'!$D$2:$D$501,MATCH(C31,'판매구성'!$A$2:$A$501,0)),""))</f>
        <v/>
      </c>
      <c r="L31" s="4">
        <f>IF(OR(J31="",K31=""),"",ROUND(J31-(J31-K31)*'설정'!$B$2,0))</f>
        <v/>
      </c>
      <c r="M31" s="4">
        <f>IF(OR(A31="",J31=""),"",ROUND(J31*N(IFERROR(INDEX('판매채널'!$F$2:$F$501,MATCH(A31,'판매채널'!$A$2:$A$501,0)),"")),0))</f>
        <v/>
      </c>
      <c r="N31" s="4">
        <f>IF(OR(J31="",K31=""),"",J31-M31-K31)</f>
        <v/>
      </c>
      <c r="O31" s="5">
        <f>IF(OR(J31="",J31=0),"",N31/J31)</f>
        <v/>
      </c>
    </row>
    <row r="32">
      <c r="B32" s="2">
        <f>IF(A32="","",IFERROR(INDEX('판매채널'!$B$2:$B$501,MATCH(A32,'판매채널'!$A$2:$A$501,0)),""))</f>
        <v/>
      </c>
      <c r="D32" s="2">
        <f>IF(C32="","",IFERROR(INDEX('판매구성'!$B$2:$B$501,MATCH(C32,'판매구성'!$A$2:$A$501,0)),""))</f>
        <v/>
      </c>
      <c r="G32" s="3" t="n"/>
      <c r="I32" s="2">
        <f>IF(C32="","",IFERROR(INDEX('판매구성'!$C$2:$C$501,MATCH(C32,'판매구성'!$A$2:$A$501,0)),""))</f>
        <v/>
      </c>
      <c r="J32" s="4">
        <f>IF(OR(C32="",E32=""),"",IFERROR(IF(INDEX('가격표'!$D$2:$K$501,MATCH(C32,'가격표'!$A$2:$A$501,0),MATCH(E32,'가격표'!$D$1:$K$1,0))="","",INDEX('가격표'!$D$2:$K$501,MATCH(C32,'가격표'!$A$2:$A$501,0),MATCH(E32,'가격표'!$D$1:$K$1,0))),""))</f>
        <v/>
      </c>
      <c r="K32" s="4">
        <f>IF(C32="","",IFERROR(INDEX('판매구성'!$D$2:$D$501,MATCH(C32,'판매구성'!$A$2:$A$501,0)),""))</f>
        <v/>
      </c>
      <c r="L32" s="4">
        <f>IF(OR(J32="",K32=""),"",ROUND(J32-(J32-K32)*'설정'!$B$2,0))</f>
        <v/>
      </c>
      <c r="M32" s="4">
        <f>IF(OR(A32="",J32=""),"",ROUND(J32*N(IFERROR(INDEX('판매채널'!$F$2:$F$501,MATCH(A32,'판매채널'!$A$2:$A$501,0)),"")),0))</f>
        <v/>
      </c>
      <c r="N32" s="4">
        <f>IF(OR(J32="",K32=""),"",J32-M32-K32)</f>
        <v/>
      </c>
      <c r="O32" s="5">
        <f>IF(OR(J32="",J32=0),"",N32/J32)</f>
        <v/>
      </c>
    </row>
    <row r="33">
      <c r="B33" s="2">
        <f>IF(A33="","",IFERROR(INDEX('판매채널'!$B$2:$B$501,MATCH(A33,'판매채널'!$A$2:$A$501,0)),""))</f>
        <v/>
      </c>
      <c r="D33" s="2">
        <f>IF(C33="","",IFERROR(INDEX('판매구성'!$B$2:$B$501,MATCH(C33,'판매구성'!$A$2:$A$501,0)),""))</f>
        <v/>
      </c>
      <c r="G33" s="3" t="n"/>
      <c r="I33" s="2">
        <f>IF(C33="","",IFERROR(INDEX('판매구성'!$C$2:$C$501,MATCH(C33,'판매구성'!$A$2:$A$501,0)),""))</f>
        <v/>
      </c>
      <c r="J33" s="4">
        <f>IF(OR(C33="",E33=""),"",IFERROR(IF(INDEX('가격표'!$D$2:$K$501,MATCH(C33,'가격표'!$A$2:$A$501,0),MATCH(E33,'가격표'!$D$1:$K$1,0))="","",INDEX('가격표'!$D$2:$K$501,MATCH(C33,'가격표'!$A$2:$A$501,0),MATCH(E33,'가격표'!$D$1:$K$1,0))),""))</f>
        <v/>
      </c>
      <c r="K33" s="4">
        <f>IF(C33="","",IFERROR(INDEX('판매구성'!$D$2:$D$501,MATCH(C33,'판매구성'!$A$2:$A$501,0)),""))</f>
        <v/>
      </c>
      <c r="L33" s="4">
        <f>IF(OR(J33="",K33=""),"",ROUND(J33-(J33-K33)*'설정'!$B$2,0))</f>
        <v/>
      </c>
      <c r="M33" s="4">
        <f>IF(OR(A33="",J33=""),"",ROUND(J33*N(IFERROR(INDEX('판매채널'!$F$2:$F$501,MATCH(A33,'판매채널'!$A$2:$A$501,0)),"")),0))</f>
        <v/>
      </c>
      <c r="N33" s="4">
        <f>IF(OR(J33="",K33=""),"",J33-M33-K33)</f>
        <v/>
      </c>
      <c r="O33" s="5">
        <f>IF(OR(J33="",J33=0),"",N33/J33)</f>
        <v/>
      </c>
    </row>
    <row r="34">
      <c r="B34" s="2">
        <f>IF(A34="","",IFERROR(INDEX('판매채널'!$B$2:$B$501,MATCH(A34,'판매채널'!$A$2:$A$501,0)),""))</f>
        <v/>
      </c>
      <c r="D34" s="2">
        <f>IF(C34="","",IFERROR(INDEX('판매구성'!$B$2:$B$501,MATCH(C34,'판매구성'!$A$2:$A$501,0)),""))</f>
        <v/>
      </c>
      <c r="G34" s="3" t="n"/>
      <c r="I34" s="2">
        <f>IF(C34="","",IFERROR(INDEX('판매구성'!$C$2:$C$501,MATCH(C34,'판매구성'!$A$2:$A$501,0)),""))</f>
        <v/>
      </c>
      <c r="J34" s="4">
        <f>IF(OR(C34="",E34=""),"",IFERROR(IF(INDEX('가격표'!$D$2:$K$501,MATCH(C34,'가격표'!$A$2:$A$501,0),MATCH(E34,'가격표'!$D$1:$K$1,0))="","",INDEX('가격표'!$D$2:$K$501,MATCH(C34,'가격표'!$A$2:$A$501,0),MATCH(E34,'가격표'!$D$1:$K$1,0))),""))</f>
        <v/>
      </c>
      <c r="K34" s="4">
        <f>IF(C34="","",IFERROR(INDEX('판매구성'!$D$2:$D$501,MATCH(C34,'판매구성'!$A$2:$A$501,0)),""))</f>
        <v/>
      </c>
      <c r="L34" s="4">
        <f>IF(OR(J34="",K34=""),"",ROUND(J34-(J34-K34)*'설정'!$B$2,0))</f>
        <v/>
      </c>
      <c r="M34" s="4">
        <f>IF(OR(A34="",J34=""),"",ROUND(J34*N(IFERROR(INDEX('판매채널'!$F$2:$F$501,MATCH(A34,'판매채널'!$A$2:$A$501,0)),"")),0))</f>
        <v/>
      </c>
      <c r="N34" s="4">
        <f>IF(OR(J34="",K34=""),"",J34-M34-K34)</f>
        <v/>
      </c>
      <c r="O34" s="5">
        <f>IF(OR(J34="",J34=0),"",N34/J34)</f>
        <v/>
      </c>
    </row>
    <row r="35">
      <c r="B35" s="2">
        <f>IF(A35="","",IFERROR(INDEX('판매채널'!$B$2:$B$501,MATCH(A35,'판매채널'!$A$2:$A$501,0)),""))</f>
        <v/>
      </c>
      <c r="D35" s="2">
        <f>IF(C35="","",IFERROR(INDEX('판매구성'!$B$2:$B$501,MATCH(C35,'판매구성'!$A$2:$A$501,0)),""))</f>
        <v/>
      </c>
      <c r="G35" s="3" t="n"/>
      <c r="I35" s="2">
        <f>IF(C35="","",IFERROR(INDEX('판매구성'!$C$2:$C$501,MATCH(C35,'판매구성'!$A$2:$A$501,0)),""))</f>
        <v/>
      </c>
      <c r="J35" s="4">
        <f>IF(OR(C35="",E35=""),"",IFERROR(IF(INDEX('가격표'!$D$2:$K$501,MATCH(C35,'가격표'!$A$2:$A$501,0),MATCH(E35,'가격표'!$D$1:$K$1,0))="","",INDEX('가격표'!$D$2:$K$501,MATCH(C35,'가격표'!$A$2:$A$501,0),MATCH(E35,'가격표'!$D$1:$K$1,0))),""))</f>
        <v/>
      </c>
      <c r="K35" s="4">
        <f>IF(C35="","",IFERROR(INDEX('판매구성'!$D$2:$D$501,MATCH(C35,'판매구성'!$A$2:$A$501,0)),""))</f>
        <v/>
      </c>
      <c r="L35" s="4">
        <f>IF(OR(J35="",K35=""),"",ROUND(J35-(J35-K35)*'설정'!$B$2,0))</f>
        <v/>
      </c>
      <c r="M35" s="4">
        <f>IF(OR(A35="",J35=""),"",ROUND(J35*N(IFERROR(INDEX('판매채널'!$F$2:$F$501,MATCH(A35,'판매채널'!$A$2:$A$501,0)),"")),0))</f>
        <v/>
      </c>
      <c r="N35" s="4">
        <f>IF(OR(J35="",K35=""),"",J35-M35-K35)</f>
        <v/>
      </c>
      <c r="O35" s="5">
        <f>IF(OR(J35="",J35=0),"",N35/J35)</f>
        <v/>
      </c>
    </row>
    <row r="36">
      <c r="B36" s="2">
        <f>IF(A36="","",IFERROR(INDEX('판매채널'!$B$2:$B$501,MATCH(A36,'판매채널'!$A$2:$A$501,0)),""))</f>
        <v/>
      </c>
      <c r="D36" s="2">
        <f>IF(C36="","",IFERROR(INDEX('판매구성'!$B$2:$B$501,MATCH(C36,'판매구성'!$A$2:$A$501,0)),""))</f>
        <v/>
      </c>
      <c r="G36" s="3" t="n"/>
      <c r="I36" s="2">
        <f>IF(C36="","",IFERROR(INDEX('판매구성'!$C$2:$C$501,MATCH(C36,'판매구성'!$A$2:$A$501,0)),""))</f>
        <v/>
      </c>
      <c r="J36" s="4">
        <f>IF(OR(C36="",E36=""),"",IFERROR(IF(INDEX('가격표'!$D$2:$K$501,MATCH(C36,'가격표'!$A$2:$A$501,0),MATCH(E36,'가격표'!$D$1:$K$1,0))="","",INDEX('가격표'!$D$2:$K$501,MATCH(C36,'가격표'!$A$2:$A$501,0),MATCH(E36,'가격표'!$D$1:$K$1,0))),""))</f>
        <v/>
      </c>
      <c r="K36" s="4">
        <f>IF(C36="","",IFERROR(INDEX('판매구성'!$D$2:$D$501,MATCH(C36,'판매구성'!$A$2:$A$501,0)),""))</f>
        <v/>
      </c>
      <c r="L36" s="4">
        <f>IF(OR(J36="",K36=""),"",ROUND(J36-(J36-K36)*'설정'!$B$2,0))</f>
        <v/>
      </c>
      <c r="M36" s="4">
        <f>IF(OR(A36="",J36=""),"",ROUND(J36*N(IFERROR(INDEX('판매채널'!$F$2:$F$501,MATCH(A36,'판매채널'!$A$2:$A$501,0)),"")),0))</f>
        <v/>
      </c>
      <c r="N36" s="4">
        <f>IF(OR(J36="",K36=""),"",J36-M36-K36)</f>
        <v/>
      </c>
      <c r="O36" s="5">
        <f>IF(OR(J36="",J36=0),"",N36/J36)</f>
        <v/>
      </c>
    </row>
    <row r="37">
      <c r="B37" s="2">
        <f>IF(A37="","",IFERROR(INDEX('판매채널'!$B$2:$B$501,MATCH(A37,'판매채널'!$A$2:$A$501,0)),""))</f>
        <v/>
      </c>
      <c r="D37" s="2">
        <f>IF(C37="","",IFERROR(INDEX('판매구성'!$B$2:$B$501,MATCH(C37,'판매구성'!$A$2:$A$501,0)),""))</f>
        <v/>
      </c>
      <c r="G37" s="3" t="n"/>
      <c r="I37" s="2">
        <f>IF(C37="","",IFERROR(INDEX('판매구성'!$C$2:$C$501,MATCH(C37,'판매구성'!$A$2:$A$501,0)),""))</f>
        <v/>
      </c>
      <c r="J37" s="4">
        <f>IF(OR(C37="",E37=""),"",IFERROR(IF(INDEX('가격표'!$D$2:$K$501,MATCH(C37,'가격표'!$A$2:$A$501,0),MATCH(E37,'가격표'!$D$1:$K$1,0))="","",INDEX('가격표'!$D$2:$K$501,MATCH(C37,'가격표'!$A$2:$A$501,0),MATCH(E37,'가격표'!$D$1:$K$1,0))),""))</f>
        <v/>
      </c>
      <c r="K37" s="4">
        <f>IF(C37="","",IFERROR(INDEX('판매구성'!$D$2:$D$501,MATCH(C37,'판매구성'!$A$2:$A$501,0)),""))</f>
        <v/>
      </c>
      <c r="L37" s="4">
        <f>IF(OR(J37="",K37=""),"",ROUND(J37-(J37-K37)*'설정'!$B$2,0))</f>
        <v/>
      </c>
      <c r="M37" s="4">
        <f>IF(OR(A37="",J37=""),"",ROUND(J37*N(IFERROR(INDEX('판매채널'!$F$2:$F$501,MATCH(A37,'판매채널'!$A$2:$A$501,0)),"")),0))</f>
        <v/>
      </c>
      <c r="N37" s="4">
        <f>IF(OR(J37="",K37=""),"",J37-M37-K37)</f>
        <v/>
      </c>
      <c r="O37" s="5">
        <f>IF(OR(J37="",J37=0),"",N37/J37)</f>
        <v/>
      </c>
    </row>
    <row r="38">
      <c r="B38" s="2">
        <f>IF(A38="","",IFERROR(INDEX('판매채널'!$B$2:$B$501,MATCH(A38,'판매채널'!$A$2:$A$501,0)),""))</f>
        <v/>
      </c>
      <c r="D38" s="2">
        <f>IF(C38="","",IFERROR(INDEX('판매구성'!$B$2:$B$501,MATCH(C38,'판매구성'!$A$2:$A$501,0)),""))</f>
        <v/>
      </c>
      <c r="G38" s="3" t="n"/>
      <c r="I38" s="2">
        <f>IF(C38="","",IFERROR(INDEX('판매구성'!$C$2:$C$501,MATCH(C38,'판매구성'!$A$2:$A$501,0)),""))</f>
        <v/>
      </c>
      <c r="J38" s="4">
        <f>IF(OR(C38="",E38=""),"",IFERROR(IF(INDEX('가격표'!$D$2:$K$501,MATCH(C38,'가격표'!$A$2:$A$501,0),MATCH(E38,'가격표'!$D$1:$K$1,0))="","",INDEX('가격표'!$D$2:$K$501,MATCH(C38,'가격표'!$A$2:$A$501,0),MATCH(E38,'가격표'!$D$1:$K$1,0))),""))</f>
        <v/>
      </c>
      <c r="K38" s="4">
        <f>IF(C38="","",IFERROR(INDEX('판매구성'!$D$2:$D$501,MATCH(C38,'판매구성'!$A$2:$A$501,0)),""))</f>
        <v/>
      </c>
      <c r="L38" s="4">
        <f>IF(OR(J38="",K38=""),"",ROUND(J38-(J38-K38)*'설정'!$B$2,0))</f>
        <v/>
      </c>
      <c r="M38" s="4">
        <f>IF(OR(A38="",J38=""),"",ROUND(J38*N(IFERROR(INDEX('판매채널'!$F$2:$F$501,MATCH(A38,'판매채널'!$A$2:$A$501,0)),"")),0))</f>
        <v/>
      </c>
      <c r="N38" s="4">
        <f>IF(OR(J38="",K38=""),"",J38-M38-K38)</f>
        <v/>
      </c>
      <c r="O38" s="5">
        <f>IF(OR(J38="",J38=0),"",N38/J38)</f>
        <v/>
      </c>
    </row>
    <row r="39">
      <c r="B39" s="2">
        <f>IF(A39="","",IFERROR(INDEX('판매채널'!$B$2:$B$501,MATCH(A39,'판매채널'!$A$2:$A$501,0)),""))</f>
        <v/>
      </c>
      <c r="D39" s="2">
        <f>IF(C39="","",IFERROR(INDEX('판매구성'!$B$2:$B$501,MATCH(C39,'판매구성'!$A$2:$A$501,0)),""))</f>
        <v/>
      </c>
      <c r="G39" s="3" t="n"/>
      <c r="I39" s="2">
        <f>IF(C39="","",IFERROR(INDEX('판매구성'!$C$2:$C$501,MATCH(C39,'판매구성'!$A$2:$A$501,0)),""))</f>
        <v/>
      </c>
      <c r="J39" s="4">
        <f>IF(OR(C39="",E39=""),"",IFERROR(IF(INDEX('가격표'!$D$2:$K$501,MATCH(C39,'가격표'!$A$2:$A$501,0),MATCH(E39,'가격표'!$D$1:$K$1,0))="","",INDEX('가격표'!$D$2:$K$501,MATCH(C39,'가격표'!$A$2:$A$501,0),MATCH(E39,'가격표'!$D$1:$K$1,0))),""))</f>
        <v/>
      </c>
      <c r="K39" s="4">
        <f>IF(C39="","",IFERROR(INDEX('판매구성'!$D$2:$D$501,MATCH(C39,'판매구성'!$A$2:$A$501,0)),""))</f>
        <v/>
      </c>
      <c r="L39" s="4">
        <f>IF(OR(J39="",K39=""),"",ROUND(J39-(J39-K39)*'설정'!$B$2,0))</f>
        <v/>
      </c>
      <c r="M39" s="4">
        <f>IF(OR(A39="",J39=""),"",ROUND(J39*N(IFERROR(INDEX('판매채널'!$F$2:$F$501,MATCH(A39,'판매채널'!$A$2:$A$501,0)),"")),0))</f>
        <v/>
      </c>
      <c r="N39" s="4">
        <f>IF(OR(J39="",K39=""),"",J39-M39-K39)</f>
        <v/>
      </c>
      <c r="O39" s="5">
        <f>IF(OR(J39="",J39=0),"",N39/J39)</f>
        <v/>
      </c>
    </row>
    <row r="40">
      <c r="B40" s="2">
        <f>IF(A40="","",IFERROR(INDEX('판매채널'!$B$2:$B$501,MATCH(A40,'판매채널'!$A$2:$A$501,0)),""))</f>
        <v/>
      </c>
      <c r="D40" s="2">
        <f>IF(C40="","",IFERROR(INDEX('판매구성'!$B$2:$B$501,MATCH(C40,'판매구성'!$A$2:$A$501,0)),""))</f>
        <v/>
      </c>
      <c r="G40" s="3" t="n"/>
      <c r="I40" s="2">
        <f>IF(C40="","",IFERROR(INDEX('판매구성'!$C$2:$C$501,MATCH(C40,'판매구성'!$A$2:$A$501,0)),""))</f>
        <v/>
      </c>
      <c r="J40" s="4">
        <f>IF(OR(C40="",E40=""),"",IFERROR(IF(INDEX('가격표'!$D$2:$K$501,MATCH(C40,'가격표'!$A$2:$A$501,0),MATCH(E40,'가격표'!$D$1:$K$1,0))="","",INDEX('가격표'!$D$2:$K$501,MATCH(C40,'가격표'!$A$2:$A$501,0),MATCH(E40,'가격표'!$D$1:$K$1,0))),""))</f>
        <v/>
      </c>
      <c r="K40" s="4">
        <f>IF(C40="","",IFERROR(INDEX('판매구성'!$D$2:$D$501,MATCH(C40,'판매구성'!$A$2:$A$501,0)),""))</f>
        <v/>
      </c>
      <c r="L40" s="4">
        <f>IF(OR(J40="",K40=""),"",ROUND(J40-(J40-K40)*'설정'!$B$2,0))</f>
        <v/>
      </c>
      <c r="M40" s="4">
        <f>IF(OR(A40="",J40=""),"",ROUND(J40*N(IFERROR(INDEX('판매채널'!$F$2:$F$501,MATCH(A40,'판매채널'!$A$2:$A$501,0)),"")),0))</f>
        <v/>
      </c>
      <c r="N40" s="4">
        <f>IF(OR(J40="",K40=""),"",J40-M40-K40)</f>
        <v/>
      </c>
      <c r="O40" s="5">
        <f>IF(OR(J40="",J40=0),"",N40/J40)</f>
        <v/>
      </c>
    </row>
    <row r="41">
      <c r="B41" s="2">
        <f>IF(A41="","",IFERROR(INDEX('판매채널'!$B$2:$B$501,MATCH(A41,'판매채널'!$A$2:$A$501,0)),""))</f>
        <v/>
      </c>
      <c r="D41" s="2">
        <f>IF(C41="","",IFERROR(INDEX('판매구성'!$B$2:$B$501,MATCH(C41,'판매구성'!$A$2:$A$501,0)),""))</f>
        <v/>
      </c>
      <c r="G41" s="3" t="n"/>
      <c r="I41" s="2">
        <f>IF(C41="","",IFERROR(INDEX('판매구성'!$C$2:$C$501,MATCH(C41,'판매구성'!$A$2:$A$501,0)),""))</f>
        <v/>
      </c>
      <c r="J41" s="4">
        <f>IF(OR(C41="",E41=""),"",IFERROR(IF(INDEX('가격표'!$D$2:$K$501,MATCH(C41,'가격표'!$A$2:$A$501,0),MATCH(E41,'가격표'!$D$1:$K$1,0))="","",INDEX('가격표'!$D$2:$K$501,MATCH(C41,'가격표'!$A$2:$A$501,0),MATCH(E41,'가격표'!$D$1:$K$1,0))),""))</f>
        <v/>
      </c>
      <c r="K41" s="4">
        <f>IF(C41="","",IFERROR(INDEX('판매구성'!$D$2:$D$501,MATCH(C41,'판매구성'!$A$2:$A$501,0)),""))</f>
        <v/>
      </c>
      <c r="L41" s="4">
        <f>IF(OR(J41="",K41=""),"",ROUND(J41-(J41-K41)*'설정'!$B$2,0))</f>
        <v/>
      </c>
      <c r="M41" s="4">
        <f>IF(OR(A41="",J41=""),"",ROUND(J41*N(IFERROR(INDEX('판매채널'!$F$2:$F$501,MATCH(A41,'판매채널'!$A$2:$A$501,0)),"")),0))</f>
        <v/>
      </c>
      <c r="N41" s="4">
        <f>IF(OR(J41="",K41=""),"",J41-M41-K41)</f>
        <v/>
      </c>
      <c r="O41" s="5">
        <f>IF(OR(J41="",J41=0),"",N41/J41)</f>
        <v/>
      </c>
    </row>
    <row r="42">
      <c r="B42" s="2">
        <f>IF(A42="","",IFERROR(INDEX('판매채널'!$B$2:$B$501,MATCH(A42,'판매채널'!$A$2:$A$501,0)),""))</f>
        <v/>
      </c>
      <c r="D42" s="2">
        <f>IF(C42="","",IFERROR(INDEX('판매구성'!$B$2:$B$501,MATCH(C42,'판매구성'!$A$2:$A$501,0)),""))</f>
        <v/>
      </c>
      <c r="G42" s="3" t="n"/>
      <c r="I42" s="2">
        <f>IF(C42="","",IFERROR(INDEX('판매구성'!$C$2:$C$501,MATCH(C42,'판매구성'!$A$2:$A$501,0)),""))</f>
        <v/>
      </c>
      <c r="J42" s="4">
        <f>IF(OR(C42="",E42=""),"",IFERROR(IF(INDEX('가격표'!$D$2:$K$501,MATCH(C42,'가격표'!$A$2:$A$501,0),MATCH(E42,'가격표'!$D$1:$K$1,0))="","",INDEX('가격표'!$D$2:$K$501,MATCH(C42,'가격표'!$A$2:$A$501,0),MATCH(E42,'가격표'!$D$1:$K$1,0))),""))</f>
        <v/>
      </c>
      <c r="K42" s="4">
        <f>IF(C42="","",IFERROR(INDEX('판매구성'!$D$2:$D$501,MATCH(C42,'판매구성'!$A$2:$A$501,0)),""))</f>
        <v/>
      </c>
      <c r="L42" s="4">
        <f>IF(OR(J42="",K42=""),"",ROUND(J42-(J42-K42)*'설정'!$B$2,0))</f>
        <v/>
      </c>
      <c r="M42" s="4">
        <f>IF(OR(A42="",J42=""),"",ROUND(J42*N(IFERROR(INDEX('판매채널'!$F$2:$F$501,MATCH(A42,'판매채널'!$A$2:$A$501,0)),"")),0))</f>
        <v/>
      </c>
      <c r="N42" s="4">
        <f>IF(OR(J42="",K42=""),"",J42-M42-K42)</f>
        <v/>
      </c>
      <c r="O42" s="5">
        <f>IF(OR(J42="",J42=0),"",N42/J42)</f>
        <v/>
      </c>
    </row>
    <row r="43">
      <c r="B43" s="2">
        <f>IF(A43="","",IFERROR(INDEX('판매채널'!$B$2:$B$501,MATCH(A43,'판매채널'!$A$2:$A$501,0)),""))</f>
        <v/>
      </c>
      <c r="D43" s="2">
        <f>IF(C43="","",IFERROR(INDEX('판매구성'!$B$2:$B$501,MATCH(C43,'판매구성'!$A$2:$A$501,0)),""))</f>
        <v/>
      </c>
      <c r="G43" s="3" t="n"/>
      <c r="I43" s="2">
        <f>IF(C43="","",IFERROR(INDEX('판매구성'!$C$2:$C$501,MATCH(C43,'판매구성'!$A$2:$A$501,0)),""))</f>
        <v/>
      </c>
      <c r="J43" s="4">
        <f>IF(OR(C43="",E43=""),"",IFERROR(IF(INDEX('가격표'!$D$2:$K$501,MATCH(C43,'가격표'!$A$2:$A$501,0),MATCH(E43,'가격표'!$D$1:$K$1,0))="","",INDEX('가격표'!$D$2:$K$501,MATCH(C43,'가격표'!$A$2:$A$501,0),MATCH(E43,'가격표'!$D$1:$K$1,0))),""))</f>
        <v/>
      </c>
      <c r="K43" s="4">
        <f>IF(C43="","",IFERROR(INDEX('판매구성'!$D$2:$D$501,MATCH(C43,'판매구성'!$A$2:$A$501,0)),""))</f>
        <v/>
      </c>
      <c r="L43" s="4">
        <f>IF(OR(J43="",K43=""),"",ROUND(J43-(J43-K43)*'설정'!$B$2,0))</f>
        <v/>
      </c>
      <c r="M43" s="4">
        <f>IF(OR(A43="",J43=""),"",ROUND(J43*N(IFERROR(INDEX('판매채널'!$F$2:$F$501,MATCH(A43,'판매채널'!$A$2:$A$501,0)),"")),0))</f>
        <v/>
      </c>
      <c r="N43" s="4">
        <f>IF(OR(J43="",K43=""),"",J43-M43-K43)</f>
        <v/>
      </c>
      <c r="O43" s="5">
        <f>IF(OR(J43="",J43=0),"",N43/J43)</f>
        <v/>
      </c>
    </row>
    <row r="44">
      <c r="B44" s="2">
        <f>IF(A44="","",IFERROR(INDEX('판매채널'!$B$2:$B$501,MATCH(A44,'판매채널'!$A$2:$A$501,0)),""))</f>
        <v/>
      </c>
      <c r="D44" s="2">
        <f>IF(C44="","",IFERROR(INDEX('판매구성'!$B$2:$B$501,MATCH(C44,'판매구성'!$A$2:$A$501,0)),""))</f>
        <v/>
      </c>
      <c r="G44" s="3" t="n"/>
      <c r="I44" s="2">
        <f>IF(C44="","",IFERROR(INDEX('판매구성'!$C$2:$C$501,MATCH(C44,'판매구성'!$A$2:$A$501,0)),""))</f>
        <v/>
      </c>
      <c r="J44" s="4">
        <f>IF(OR(C44="",E44=""),"",IFERROR(IF(INDEX('가격표'!$D$2:$K$501,MATCH(C44,'가격표'!$A$2:$A$501,0),MATCH(E44,'가격표'!$D$1:$K$1,0))="","",INDEX('가격표'!$D$2:$K$501,MATCH(C44,'가격표'!$A$2:$A$501,0),MATCH(E44,'가격표'!$D$1:$K$1,0))),""))</f>
        <v/>
      </c>
      <c r="K44" s="4">
        <f>IF(C44="","",IFERROR(INDEX('판매구성'!$D$2:$D$501,MATCH(C44,'판매구성'!$A$2:$A$501,0)),""))</f>
        <v/>
      </c>
      <c r="L44" s="4">
        <f>IF(OR(J44="",K44=""),"",ROUND(J44-(J44-K44)*'설정'!$B$2,0))</f>
        <v/>
      </c>
      <c r="M44" s="4">
        <f>IF(OR(A44="",J44=""),"",ROUND(J44*N(IFERROR(INDEX('판매채널'!$F$2:$F$501,MATCH(A44,'판매채널'!$A$2:$A$501,0)),"")),0))</f>
        <v/>
      </c>
      <c r="N44" s="4">
        <f>IF(OR(J44="",K44=""),"",J44-M44-K44)</f>
        <v/>
      </c>
      <c r="O44" s="5">
        <f>IF(OR(J44="",J44=0),"",N44/J44)</f>
        <v/>
      </c>
    </row>
    <row r="45">
      <c r="B45" s="2">
        <f>IF(A45="","",IFERROR(INDEX('판매채널'!$B$2:$B$501,MATCH(A45,'판매채널'!$A$2:$A$501,0)),""))</f>
        <v/>
      </c>
      <c r="D45" s="2">
        <f>IF(C45="","",IFERROR(INDEX('판매구성'!$B$2:$B$501,MATCH(C45,'판매구성'!$A$2:$A$501,0)),""))</f>
        <v/>
      </c>
      <c r="G45" s="3" t="n"/>
      <c r="I45" s="2">
        <f>IF(C45="","",IFERROR(INDEX('판매구성'!$C$2:$C$501,MATCH(C45,'판매구성'!$A$2:$A$501,0)),""))</f>
        <v/>
      </c>
      <c r="J45" s="4">
        <f>IF(OR(C45="",E45=""),"",IFERROR(IF(INDEX('가격표'!$D$2:$K$501,MATCH(C45,'가격표'!$A$2:$A$501,0),MATCH(E45,'가격표'!$D$1:$K$1,0))="","",INDEX('가격표'!$D$2:$K$501,MATCH(C45,'가격표'!$A$2:$A$501,0),MATCH(E45,'가격표'!$D$1:$K$1,0))),""))</f>
        <v/>
      </c>
      <c r="K45" s="4">
        <f>IF(C45="","",IFERROR(INDEX('판매구성'!$D$2:$D$501,MATCH(C45,'판매구성'!$A$2:$A$501,0)),""))</f>
        <v/>
      </c>
      <c r="L45" s="4">
        <f>IF(OR(J45="",K45=""),"",ROUND(J45-(J45-K45)*'설정'!$B$2,0))</f>
        <v/>
      </c>
      <c r="M45" s="4">
        <f>IF(OR(A45="",J45=""),"",ROUND(J45*N(IFERROR(INDEX('판매채널'!$F$2:$F$501,MATCH(A45,'판매채널'!$A$2:$A$501,0)),"")),0))</f>
        <v/>
      </c>
      <c r="N45" s="4">
        <f>IF(OR(J45="",K45=""),"",J45-M45-K45)</f>
        <v/>
      </c>
      <c r="O45" s="5">
        <f>IF(OR(J45="",J45=0),"",N45/J45)</f>
        <v/>
      </c>
    </row>
    <row r="46">
      <c r="B46" s="2">
        <f>IF(A46="","",IFERROR(INDEX('판매채널'!$B$2:$B$501,MATCH(A46,'판매채널'!$A$2:$A$501,0)),""))</f>
        <v/>
      </c>
      <c r="D46" s="2">
        <f>IF(C46="","",IFERROR(INDEX('판매구성'!$B$2:$B$501,MATCH(C46,'판매구성'!$A$2:$A$501,0)),""))</f>
        <v/>
      </c>
      <c r="G46" s="3" t="n"/>
      <c r="I46" s="2">
        <f>IF(C46="","",IFERROR(INDEX('판매구성'!$C$2:$C$501,MATCH(C46,'판매구성'!$A$2:$A$501,0)),""))</f>
        <v/>
      </c>
      <c r="J46" s="4">
        <f>IF(OR(C46="",E46=""),"",IFERROR(IF(INDEX('가격표'!$D$2:$K$501,MATCH(C46,'가격표'!$A$2:$A$501,0),MATCH(E46,'가격표'!$D$1:$K$1,0))="","",INDEX('가격표'!$D$2:$K$501,MATCH(C46,'가격표'!$A$2:$A$501,0),MATCH(E46,'가격표'!$D$1:$K$1,0))),""))</f>
        <v/>
      </c>
      <c r="K46" s="4">
        <f>IF(C46="","",IFERROR(INDEX('판매구성'!$D$2:$D$501,MATCH(C46,'판매구성'!$A$2:$A$501,0)),""))</f>
        <v/>
      </c>
      <c r="L46" s="4">
        <f>IF(OR(J46="",K46=""),"",ROUND(J46-(J46-K46)*'설정'!$B$2,0))</f>
        <v/>
      </c>
      <c r="M46" s="4">
        <f>IF(OR(A46="",J46=""),"",ROUND(J46*N(IFERROR(INDEX('판매채널'!$F$2:$F$501,MATCH(A46,'판매채널'!$A$2:$A$501,0)),"")),0))</f>
        <v/>
      </c>
      <c r="N46" s="4">
        <f>IF(OR(J46="",K46=""),"",J46-M46-K46)</f>
        <v/>
      </c>
      <c r="O46" s="5">
        <f>IF(OR(J46="",J46=0),"",N46/J46)</f>
        <v/>
      </c>
    </row>
    <row r="47">
      <c r="B47" s="2">
        <f>IF(A47="","",IFERROR(INDEX('판매채널'!$B$2:$B$501,MATCH(A47,'판매채널'!$A$2:$A$501,0)),""))</f>
        <v/>
      </c>
      <c r="D47" s="2">
        <f>IF(C47="","",IFERROR(INDEX('판매구성'!$B$2:$B$501,MATCH(C47,'판매구성'!$A$2:$A$501,0)),""))</f>
        <v/>
      </c>
      <c r="G47" s="3" t="n"/>
      <c r="I47" s="2">
        <f>IF(C47="","",IFERROR(INDEX('판매구성'!$C$2:$C$501,MATCH(C47,'판매구성'!$A$2:$A$501,0)),""))</f>
        <v/>
      </c>
      <c r="J47" s="4">
        <f>IF(OR(C47="",E47=""),"",IFERROR(IF(INDEX('가격표'!$D$2:$K$501,MATCH(C47,'가격표'!$A$2:$A$501,0),MATCH(E47,'가격표'!$D$1:$K$1,0))="","",INDEX('가격표'!$D$2:$K$501,MATCH(C47,'가격표'!$A$2:$A$501,0),MATCH(E47,'가격표'!$D$1:$K$1,0))),""))</f>
        <v/>
      </c>
      <c r="K47" s="4">
        <f>IF(C47="","",IFERROR(INDEX('판매구성'!$D$2:$D$501,MATCH(C47,'판매구성'!$A$2:$A$501,0)),""))</f>
        <v/>
      </c>
      <c r="L47" s="4">
        <f>IF(OR(J47="",K47=""),"",ROUND(J47-(J47-K47)*'설정'!$B$2,0))</f>
        <v/>
      </c>
      <c r="M47" s="4">
        <f>IF(OR(A47="",J47=""),"",ROUND(J47*N(IFERROR(INDEX('판매채널'!$F$2:$F$501,MATCH(A47,'판매채널'!$A$2:$A$501,0)),"")),0))</f>
        <v/>
      </c>
      <c r="N47" s="4">
        <f>IF(OR(J47="",K47=""),"",J47-M47-K47)</f>
        <v/>
      </c>
      <c r="O47" s="5">
        <f>IF(OR(J47="",J47=0),"",N47/J47)</f>
        <v/>
      </c>
    </row>
    <row r="48">
      <c r="B48" s="2">
        <f>IF(A48="","",IFERROR(INDEX('판매채널'!$B$2:$B$501,MATCH(A48,'판매채널'!$A$2:$A$501,0)),""))</f>
        <v/>
      </c>
      <c r="D48" s="2">
        <f>IF(C48="","",IFERROR(INDEX('판매구성'!$B$2:$B$501,MATCH(C48,'판매구성'!$A$2:$A$501,0)),""))</f>
        <v/>
      </c>
      <c r="G48" s="3" t="n"/>
      <c r="I48" s="2">
        <f>IF(C48="","",IFERROR(INDEX('판매구성'!$C$2:$C$501,MATCH(C48,'판매구성'!$A$2:$A$501,0)),""))</f>
        <v/>
      </c>
      <c r="J48" s="4">
        <f>IF(OR(C48="",E48=""),"",IFERROR(IF(INDEX('가격표'!$D$2:$K$501,MATCH(C48,'가격표'!$A$2:$A$501,0),MATCH(E48,'가격표'!$D$1:$K$1,0))="","",INDEX('가격표'!$D$2:$K$501,MATCH(C48,'가격표'!$A$2:$A$501,0),MATCH(E48,'가격표'!$D$1:$K$1,0))),""))</f>
        <v/>
      </c>
      <c r="K48" s="4">
        <f>IF(C48="","",IFERROR(INDEX('판매구성'!$D$2:$D$501,MATCH(C48,'판매구성'!$A$2:$A$501,0)),""))</f>
        <v/>
      </c>
      <c r="L48" s="4">
        <f>IF(OR(J48="",K48=""),"",ROUND(J48-(J48-K48)*'설정'!$B$2,0))</f>
        <v/>
      </c>
      <c r="M48" s="4">
        <f>IF(OR(A48="",J48=""),"",ROUND(J48*N(IFERROR(INDEX('판매채널'!$F$2:$F$501,MATCH(A48,'판매채널'!$A$2:$A$501,0)),"")),0))</f>
        <v/>
      </c>
      <c r="N48" s="4">
        <f>IF(OR(J48="",K48=""),"",J48-M48-K48)</f>
        <v/>
      </c>
      <c r="O48" s="5">
        <f>IF(OR(J48="",J48=0),"",N48/J48)</f>
        <v/>
      </c>
    </row>
    <row r="49">
      <c r="B49" s="2">
        <f>IF(A49="","",IFERROR(INDEX('판매채널'!$B$2:$B$501,MATCH(A49,'판매채널'!$A$2:$A$501,0)),""))</f>
        <v/>
      </c>
      <c r="D49" s="2">
        <f>IF(C49="","",IFERROR(INDEX('판매구성'!$B$2:$B$501,MATCH(C49,'판매구성'!$A$2:$A$501,0)),""))</f>
        <v/>
      </c>
      <c r="G49" s="3" t="n"/>
      <c r="I49" s="2">
        <f>IF(C49="","",IFERROR(INDEX('판매구성'!$C$2:$C$501,MATCH(C49,'판매구성'!$A$2:$A$501,0)),""))</f>
        <v/>
      </c>
      <c r="J49" s="4">
        <f>IF(OR(C49="",E49=""),"",IFERROR(IF(INDEX('가격표'!$D$2:$K$501,MATCH(C49,'가격표'!$A$2:$A$501,0),MATCH(E49,'가격표'!$D$1:$K$1,0))="","",INDEX('가격표'!$D$2:$K$501,MATCH(C49,'가격표'!$A$2:$A$501,0),MATCH(E49,'가격표'!$D$1:$K$1,0))),""))</f>
        <v/>
      </c>
      <c r="K49" s="4">
        <f>IF(C49="","",IFERROR(INDEX('판매구성'!$D$2:$D$501,MATCH(C49,'판매구성'!$A$2:$A$501,0)),""))</f>
        <v/>
      </c>
      <c r="L49" s="4">
        <f>IF(OR(J49="",K49=""),"",ROUND(J49-(J49-K49)*'설정'!$B$2,0))</f>
        <v/>
      </c>
      <c r="M49" s="4">
        <f>IF(OR(A49="",J49=""),"",ROUND(J49*N(IFERROR(INDEX('판매채널'!$F$2:$F$501,MATCH(A49,'판매채널'!$A$2:$A$501,0)),"")),0))</f>
        <v/>
      </c>
      <c r="N49" s="4">
        <f>IF(OR(J49="",K49=""),"",J49-M49-K49)</f>
        <v/>
      </c>
      <c r="O49" s="5">
        <f>IF(OR(J49="",J49=0),"",N49/J49)</f>
        <v/>
      </c>
    </row>
    <row r="50">
      <c r="B50" s="2">
        <f>IF(A50="","",IFERROR(INDEX('판매채널'!$B$2:$B$501,MATCH(A50,'판매채널'!$A$2:$A$501,0)),""))</f>
        <v/>
      </c>
      <c r="D50" s="2">
        <f>IF(C50="","",IFERROR(INDEX('판매구성'!$B$2:$B$501,MATCH(C50,'판매구성'!$A$2:$A$501,0)),""))</f>
        <v/>
      </c>
      <c r="G50" s="3" t="n"/>
      <c r="I50" s="2">
        <f>IF(C50="","",IFERROR(INDEX('판매구성'!$C$2:$C$501,MATCH(C50,'판매구성'!$A$2:$A$501,0)),""))</f>
        <v/>
      </c>
      <c r="J50" s="4">
        <f>IF(OR(C50="",E50=""),"",IFERROR(IF(INDEX('가격표'!$D$2:$K$501,MATCH(C50,'가격표'!$A$2:$A$501,0),MATCH(E50,'가격표'!$D$1:$K$1,0))="","",INDEX('가격표'!$D$2:$K$501,MATCH(C50,'가격표'!$A$2:$A$501,0),MATCH(E50,'가격표'!$D$1:$K$1,0))),""))</f>
        <v/>
      </c>
      <c r="K50" s="4">
        <f>IF(C50="","",IFERROR(INDEX('판매구성'!$D$2:$D$501,MATCH(C50,'판매구성'!$A$2:$A$501,0)),""))</f>
        <v/>
      </c>
      <c r="L50" s="4">
        <f>IF(OR(J50="",K50=""),"",ROUND(J50-(J50-K50)*'설정'!$B$2,0))</f>
        <v/>
      </c>
      <c r="M50" s="4">
        <f>IF(OR(A50="",J50=""),"",ROUND(J50*N(IFERROR(INDEX('판매채널'!$F$2:$F$501,MATCH(A50,'판매채널'!$A$2:$A$501,0)),"")),0))</f>
        <v/>
      </c>
      <c r="N50" s="4">
        <f>IF(OR(J50="",K50=""),"",J50-M50-K50)</f>
        <v/>
      </c>
      <c r="O50" s="5">
        <f>IF(OR(J50="",J50=0),"",N50/J50)</f>
        <v/>
      </c>
    </row>
    <row r="51">
      <c r="B51" s="2">
        <f>IF(A51="","",IFERROR(INDEX('판매채널'!$B$2:$B$501,MATCH(A51,'판매채널'!$A$2:$A$501,0)),""))</f>
        <v/>
      </c>
      <c r="D51" s="2">
        <f>IF(C51="","",IFERROR(INDEX('판매구성'!$B$2:$B$501,MATCH(C51,'판매구성'!$A$2:$A$501,0)),""))</f>
        <v/>
      </c>
      <c r="G51" s="3" t="n"/>
      <c r="I51" s="2">
        <f>IF(C51="","",IFERROR(INDEX('판매구성'!$C$2:$C$501,MATCH(C51,'판매구성'!$A$2:$A$501,0)),""))</f>
        <v/>
      </c>
      <c r="J51" s="4">
        <f>IF(OR(C51="",E51=""),"",IFERROR(IF(INDEX('가격표'!$D$2:$K$501,MATCH(C51,'가격표'!$A$2:$A$501,0),MATCH(E51,'가격표'!$D$1:$K$1,0))="","",INDEX('가격표'!$D$2:$K$501,MATCH(C51,'가격표'!$A$2:$A$501,0),MATCH(E51,'가격표'!$D$1:$K$1,0))),""))</f>
        <v/>
      </c>
      <c r="K51" s="4">
        <f>IF(C51="","",IFERROR(INDEX('판매구성'!$D$2:$D$501,MATCH(C51,'판매구성'!$A$2:$A$501,0)),""))</f>
        <v/>
      </c>
      <c r="L51" s="4">
        <f>IF(OR(J51="",K51=""),"",ROUND(J51-(J51-K51)*'설정'!$B$2,0))</f>
        <v/>
      </c>
      <c r="M51" s="4">
        <f>IF(OR(A51="",J51=""),"",ROUND(J51*N(IFERROR(INDEX('판매채널'!$F$2:$F$501,MATCH(A51,'판매채널'!$A$2:$A$501,0)),"")),0))</f>
        <v/>
      </c>
      <c r="N51" s="4">
        <f>IF(OR(J51="",K51=""),"",J51-M51-K51)</f>
        <v/>
      </c>
      <c r="O51" s="5">
        <f>IF(OR(J51="",J51=0),"",N51/J51)</f>
        <v/>
      </c>
    </row>
    <row r="52">
      <c r="B52" s="2">
        <f>IF(A52="","",IFERROR(INDEX('판매채널'!$B$2:$B$501,MATCH(A52,'판매채널'!$A$2:$A$501,0)),""))</f>
        <v/>
      </c>
      <c r="D52" s="2">
        <f>IF(C52="","",IFERROR(INDEX('판매구성'!$B$2:$B$501,MATCH(C52,'판매구성'!$A$2:$A$501,0)),""))</f>
        <v/>
      </c>
      <c r="G52" s="3" t="n"/>
      <c r="I52" s="2">
        <f>IF(C52="","",IFERROR(INDEX('판매구성'!$C$2:$C$501,MATCH(C52,'판매구성'!$A$2:$A$501,0)),""))</f>
        <v/>
      </c>
      <c r="J52" s="4">
        <f>IF(OR(C52="",E52=""),"",IFERROR(IF(INDEX('가격표'!$D$2:$K$501,MATCH(C52,'가격표'!$A$2:$A$501,0),MATCH(E52,'가격표'!$D$1:$K$1,0))="","",INDEX('가격표'!$D$2:$K$501,MATCH(C52,'가격표'!$A$2:$A$501,0),MATCH(E52,'가격표'!$D$1:$K$1,0))),""))</f>
        <v/>
      </c>
      <c r="K52" s="4">
        <f>IF(C52="","",IFERROR(INDEX('판매구성'!$D$2:$D$501,MATCH(C52,'판매구성'!$A$2:$A$501,0)),""))</f>
        <v/>
      </c>
      <c r="L52" s="4">
        <f>IF(OR(J52="",K52=""),"",ROUND(J52-(J52-K52)*'설정'!$B$2,0))</f>
        <v/>
      </c>
      <c r="M52" s="4">
        <f>IF(OR(A52="",J52=""),"",ROUND(J52*N(IFERROR(INDEX('판매채널'!$F$2:$F$501,MATCH(A52,'판매채널'!$A$2:$A$501,0)),"")),0))</f>
        <v/>
      </c>
      <c r="N52" s="4">
        <f>IF(OR(J52="",K52=""),"",J52-M52-K52)</f>
        <v/>
      </c>
      <c r="O52" s="5">
        <f>IF(OR(J52="",J52=0),"",N52/J52)</f>
        <v/>
      </c>
    </row>
    <row r="53">
      <c r="B53" s="2">
        <f>IF(A53="","",IFERROR(INDEX('판매채널'!$B$2:$B$501,MATCH(A53,'판매채널'!$A$2:$A$501,0)),""))</f>
        <v/>
      </c>
      <c r="D53" s="2">
        <f>IF(C53="","",IFERROR(INDEX('판매구성'!$B$2:$B$501,MATCH(C53,'판매구성'!$A$2:$A$501,0)),""))</f>
        <v/>
      </c>
      <c r="G53" s="3" t="n"/>
      <c r="I53" s="2">
        <f>IF(C53="","",IFERROR(INDEX('판매구성'!$C$2:$C$501,MATCH(C53,'판매구성'!$A$2:$A$501,0)),""))</f>
        <v/>
      </c>
      <c r="J53" s="4">
        <f>IF(OR(C53="",E53=""),"",IFERROR(IF(INDEX('가격표'!$D$2:$K$501,MATCH(C53,'가격표'!$A$2:$A$501,0),MATCH(E53,'가격표'!$D$1:$K$1,0))="","",INDEX('가격표'!$D$2:$K$501,MATCH(C53,'가격표'!$A$2:$A$501,0),MATCH(E53,'가격표'!$D$1:$K$1,0))),""))</f>
        <v/>
      </c>
      <c r="K53" s="4">
        <f>IF(C53="","",IFERROR(INDEX('판매구성'!$D$2:$D$501,MATCH(C53,'판매구성'!$A$2:$A$501,0)),""))</f>
        <v/>
      </c>
      <c r="L53" s="4">
        <f>IF(OR(J53="",K53=""),"",ROUND(J53-(J53-K53)*'설정'!$B$2,0))</f>
        <v/>
      </c>
      <c r="M53" s="4">
        <f>IF(OR(A53="",J53=""),"",ROUND(J53*N(IFERROR(INDEX('판매채널'!$F$2:$F$501,MATCH(A53,'판매채널'!$A$2:$A$501,0)),"")),0))</f>
        <v/>
      </c>
      <c r="N53" s="4">
        <f>IF(OR(J53="",K53=""),"",J53-M53-K53)</f>
        <v/>
      </c>
      <c r="O53" s="5">
        <f>IF(OR(J53="",J53=0),"",N53/J53)</f>
        <v/>
      </c>
    </row>
    <row r="54">
      <c r="B54" s="2">
        <f>IF(A54="","",IFERROR(INDEX('판매채널'!$B$2:$B$501,MATCH(A54,'판매채널'!$A$2:$A$501,0)),""))</f>
        <v/>
      </c>
      <c r="D54" s="2">
        <f>IF(C54="","",IFERROR(INDEX('판매구성'!$B$2:$B$501,MATCH(C54,'판매구성'!$A$2:$A$501,0)),""))</f>
        <v/>
      </c>
      <c r="G54" s="3" t="n"/>
      <c r="I54" s="2">
        <f>IF(C54="","",IFERROR(INDEX('판매구성'!$C$2:$C$501,MATCH(C54,'판매구성'!$A$2:$A$501,0)),""))</f>
        <v/>
      </c>
      <c r="J54" s="4">
        <f>IF(OR(C54="",E54=""),"",IFERROR(IF(INDEX('가격표'!$D$2:$K$501,MATCH(C54,'가격표'!$A$2:$A$501,0),MATCH(E54,'가격표'!$D$1:$K$1,0))="","",INDEX('가격표'!$D$2:$K$501,MATCH(C54,'가격표'!$A$2:$A$501,0),MATCH(E54,'가격표'!$D$1:$K$1,0))),""))</f>
        <v/>
      </c>
      <c r="K54" s="4">
        <f>IF(C54="","",IFERROR(INDEX('판매구성'!$D$2:$D$501,MATCH(C54,'판매구성'!$A$2:$A$501,0)),""))</f>
        <v/>
      </c>
      <c r="L54" s="4">
        <f>IF(OR(J54="",K54=""),"",ROUND(J54-(J54-K54)*'설정'!$B$2,0))</f>
        <v/>
      </c>
      <c r="M54" s="4">
        <f>IF(OR(A54="",J54=""),"",ROUND(J54*N(IFERROR(INDEX('판매채널'!$F$2:$F$501,MATCH(A54,'판매채널'!$A$2:$A$501,0)),"")),0))</f>
        <v/>
      </c>
      <c r="N54" s="4">
        <f>IF(OR(J54="",K54=""),"",J54-M54-K54)</f>
        <v/>
      </c>
      <c r="O54" s="5">
        <f>IF(OR(J54="",J54=0),"",N54/J54)</f>
        <v/>
      </c>
    </row>
    <row r="55">
      <c r="B55" s="2">
        <f>IF(A55="","",IFERROR(INDEX('판매채널'!$B$2:$B$501,MATCH(A55,'판매채널'!$A$2:$A$501,0)),""))</f>
        <v/>
      </c>
      <c r="D55" s="2">
        <f>IF(C55="","",IFERROR(INDEX('판매구성'!$B$2:$B$501,MATCH(C55,'판매구성'!$A$2:$A$501,0)),""))</f>
        <v/>
      </c>
      <c r="G55" s="3" t="n"/>
      <c r="I55" s="2">
        <f>IF(C55="","",IFERROR(INDEX('판매구성'!$C$2:$C$501,MATCH(C55,'판매구성'!$A$2:$A$501,0)),""))</f>
        <v/>
      </c>
      <c r="J55" s="4">
        <f>IF(OR(C55="",E55=""),"",IFERROR(IF(INDEX('가격표'!$D$2:$K$501,MATCH(C55,'가격표'!$A$2:$A$501,0),MATCH(E55,'가격표'!$D$1:$K$1,0))="","",INDEX('가격표'!$D$2:$K$501,MATCH(C55,'가격표'!$A$2:$A$501,0),MATCH(E55,'가격표'!$D$1:$K$1,0))),""))</f>
        <v/>
      </c>
      <c r="K55" s="4">
        <f>IF(C55="","",IFERROR(INDEX('판매구성'!$D$2:$D$501,MATCH(C55,'판매구성'!$A$2:$A$501,0)),""))</f>
        <v/>
      </c>
      <c r="L55" s="4">
        <f>IF(OR(J55="",K55=""),"",ROUND(J55-(J55-K55)*'설정'!$B$2,0))</f>
        <v/>
      </c>
      <c r="M55" s="4">
        <f>IF(OR(A55="",J55=""),"",ROUND(J55*N(IFERROR(INDEX('판매채널'!$F$2:$F$501,MATCH(A55,'판매채널'!$A$2:$A$501,0)),"")),0))</f>
        <v/>
      </c>
      <c r="N55" s="4">
        <f>IF(OR(J55="",K55=""),"",J55-M55-K55)</f>
        <v/>
      </c>
      <c r="O55" s="5">
        <f>IF(OR(J55="",J55=0),"",N55/J55)</f>
        <v/>
      </c>
    </row>
    <row r="56">
      <c r="B56" s="2">
        <f>IF(A56="","",IFERROR(INDEX('판매채널'!$B$2:$B$501,MATCH(A56,'판매채널'!$A$2:$A$501,0)),""))</f>
        <v/>
      </c>
      <c r="D56" s="2">
        <f>IF(C56="","",IFERROR(INDEX('판매구성'!$B$2:$B$501,MATCH(C56,'판매구성'!$A$2:$A$501,0)),""))</f>
        <v/>
      </c>
      <c r="G56" s="3" t="n"/>
      <c r="I56" s="2">
        <f>IF(C56="","",IFERROR(INDEX('판매구성'!$C$2:$C$501,MATCH(C56,'판매구성'!$A$2:$A$501,0)),""))</f>
        <v/>
      </c>
      <c r="J56" s="4">
        <f>IF(OR(C56="",E56=""),"",IFERROR(IF(INDEX('가격표'!$D$2:$K$501,MATCH(C56,'가격표'!$A$2:$A$501,0),MATCH(E56,'가격표'!$D$1:$K$1,0))="","",INDEX('가격표'!$D$2:$K$501,MATCH(C56,'가격표'!$A$2:$A$501,0),MATCH(E56,'가격표'!$D$1:$K$1,0))),""))</f>
        <v/>
      </c>
      <c r="K56" s="4">
        <f>IF(C56="","",IFERROR(INDEX('판매구성'!$D$2:$D$501,MATCH(C56,'판매구성'!$A$2:$A$501,0)),""))</f>
        <v/>
      </c>
      <c r="L56" s="4">
        <f>IF(OR(J56="",K56=""),"",ROUND(J56-(J56-K56)*'설정'!$B$2,0))</f>
        <v/>
      </c>
      <c r="M56" s="4">
        <f>IF(OR(A56="",J56=""),"",ROUND(J56*N(IFERROR(INDEX('판매채널'!$F$2:$F$501,MATCH(A56,'판매채널'!$A$2:$A$501,0)),"")),0))</f>
        <v/>
      </c>
      <c r="N56" s="4">
        <f>IF(OR(J56="",K56=""),"",J56-M56-K56)</f>
        <v/>
      </c>
      <c r="O56" s="5">
        <f>IF(OR(J56="",J56=0),"",N56/J56)</f>
        <v/>
      </c>
    </row>
    <row r="57">
      <c r="B57" s="2">
        <f>IF(A57="","",IFERROR(INDEX('판매채널'!$B$2:$B$501,MATCH(A57,'판매채널'!$A$2:$A$501,0)),""))</f>
        <v/>
      </c>
      <c r="D57" s="2">
        <f>IF(C57="","",IFERROR(INDEX('판매구성'!$B$2:$B$501,MATCH(C57,'판매구성'!$A$2:$A$501,0)),""))</f>
        <v/>
      </c>
      <c r="G57" s="3" t="n"/>
      <c r="I57" s="2">
        <f>IF(C57="","",IFERROR(INDEX('판매구성'!$C$2:$C$501,MATCH(C57,'판매구성'!$A$2:$A$501,0)),""))</f>
        <v/>
      </c>
      <c r="J57" s="4">
        <f>IF(OR(C57="",E57=""),"",IFERROR(IF(INDEX('가격표'!$D$2:$K$501,MATCH(C57,'가격표'!$A$2:$A$501,0),MATCH(E57,'가격표'!$D$1:$K$1,0))="","",INDEX('가격표'!$D$2:$K$501,MATCH(C57,'가격표'!$A$2:$A$501,0),MATCH(E57,'가격표'!$D$1:$K$1,0))),""))</f>
        <v/>
      </c>
      <c r="K57" s="4">
        <f>IF(C57="","",IFERROR(INDEX('판매구성'!$D$2:$D$501,MATCH(C57,'판매구성'!$A$2:$A$501,0)),""))</f>
        <v/>
      </c>
      <c r="L57" s="4">
        <f>IF(OR(J57="",K57=""),"",ROUND(J57-(J57-K57)*'설정'!$B$2,0))</f>
        <v/>
      </c>
      <c r="M57" s="4">
        <f>IF(OR(A57="",J57=""),"",ROUND(J57*N(IFERROR(INDEX('판매채널'!$F$2:$F$501,MATCH(A57,'판매채널'!$A$2:$A$501,0)),"")),0))</f>
        <v/>
      </c>
      <c r="N57" s="4">
        <f>IF(OR(J57="",K57=""),"",J57-M57-K57)</f>
        <v/>
      </c>
      <c r="O57" s="5">
        <f>IF(OR(J57="",J57=0),"",N57/J57)</f>
        <v/>
      </c>
    </row>
    <row r="58">
      <c r="B58" s="2">
        <f>IF(A58="","",IFERROR(INDEX('판매채널'!$B$2:$B$501,MATCH(A58,'판매채널'!$A$2:$A$501,0)),""))</f>
        <v/>
      </c>
      <c r="D58" s="2">
        <f>IF(C58="","",IFERROR(INDEX('판매구성'!$B$2:$B$501,MATCH(C58,'판매구성'!$A$2:$A$501,0)),""))</f>
        <v/>
      </c>
      <c r="G58" s="3" t="n"/>
      <c r="I58" s="2">
        <f>IF(C58="","",IFERROR(INDEX('판매구성'!$C$2:$C$501,MATCH(C58,'판매구성'!$A$2:$A$501,0)),""))</f>
        <v/>
      </c>
      <c r="J58" s="4">
        <f>IF(OR(C58="",E58=""),"",IFERROR(IF(INDEX('가격표'!$D$2:$K$501,MATCH(C58,'가격표'!$A$2:$A$501,0),MATCH(E58,'가격표'!$D$1:$K$1,0))="","",INDEX('가격표'!$D$2:$K$501,MATCH(C58,'가격표'!$A$2:$A$501,0),MATCH(E58,'가격표'!$D$1:$K$1,0))),""))</f>
        <v/>
      </c>
      <c r="K58" s="4">
        <f>IF(C58="","",IFERROR(INDEX('판매구성'!$D$2:$D$501,MATCH(C58,'판매구성'!$A$2:$A$501,0)),""))</f>
        <v/>
      </c>
      <c r="L58" s="4">
        <f>IF(OR(J58="",K58=""),"",ROUND(J58-(J58-K58)*'설정'!$B$2,0))</f>
        <v/>
      </c>
      <c r="M58" s="4">
        <f>IF(OR(A58="",J58=""),"",ROUND(J58*N(IFERROR(INDEX('판매채널'!$F$2:$F$501,MATCH(A58,'판매채널'!$A$2:$A$501,0)),"")),0))</f>
        <v/>
      </c>
      <c r="N58" s="4">
        <f>IF(OR(J58="",K58=""),"",J58-M58-K58)</f>
        <v/>
      </c>
      <c r="O58" s="5">
        <f>IF(OR(J58="",J58=0),"",N58/J58)</f>
        <v/>
      </c>
    </row>
    <row r="59">
      <c r="B59" s="2">
        <f>IF(A59="","",IFERROR(INDEX('판매채널'!$B$2:$B$501,MATCH(A59,'판매채널'!$A$2:$A$501,0)),""))</f>
        <v/>
      </c>
      <c r="D59" s="2">
        <f>IF(C59="","",IFERROR(INDEX('판매구성'!$B$2:$B$501,MATCH(C59,'판매구성'!$A$2:$A$501,0)),""))</f>
        <v/>
      </c>
      <c r="G59" s="3" t="n"/>
      <c r="I59" s="2">
        <f>IF(C59="","",IFERROR(INDEX('판매구성'!$C$2:$C$501,MATCH(C59,'판매구성'!$A$2:$A$501,0)),""))</f>
        <v/>
      </c>
      <c r="J59" s="4">
        <f>IF(OR(C59="",E59=""),"",IFERROR(IF(INDEX('가격표'!$D$2:$K$501,MATCH(C59,'가격표'!$A$2:$A$501,0),MATCH(E59,'가격표'!$D$1:$K$1,0))="","",INDEX('가격표'!$D$2:$K$501,MATCH(C59,'가격표'!$A$2:$A$501,0),MATCH(E59,'가격표'!$D$1:$K$1,0))),""))</f>
        <v/>
      </c>
      <c r="K59" s="4">
        <f>IF(C59="","",IFERROR(INDEX('판매구성'!$D$2:$D$501,MATCH(C59,'판매구성'!$A$2:$A$501,0)),""))</f>
        <v/>
      </c>
      <c r="L59" s="4">
        <f>IF(OR(J59="",K59=""),"",ROUND(J59-(J59-K59)*'설정'!$B$2,0))</f>
        <v/>
      </c>
      <c r="M59" s="4">
        <f>IF(OR(A59="",J59=""),"",ROUND(J59*N(IFERROR(INDEX('판매채널'!$F$2:$F$501,MATCH(A59,'판매채널'!$A$2:$A$501,0)),"")),0))</f>
        <v/>
      </c>
      <c r="N59" s="4">
        <f>IF(OR(J59="",K59=""),"",J59-M59-K59)</f>
        <v/>
      </c>
      <c r="O59" s="5">
        <f>IF(OR(J59="",J59=0),"",N59/J59)</f>
        <v/>
      </c>
    </row>
    <row r="60">
      <c r="B60" s="2">
        <f>IF(A60="","",IFERROR(INDEX('판매채널'!$B$2:$B$501,MATCH(A60,'판매채널'!$A$2:$A$501,0)),""))</f>
        <v/>
      </c>
      <c r="D60" s="2">
        <f>IF(C60="","",IFERROR(INDEX('판매구성'!$B$2:$B$501,MATCH(C60,'판매구성'!$A$2:$A$501,0)),""))</f>
        <v/>
      </c>
      <c r="G60" s="3" t="n"/>
      <c r="I60" s="2">
        <f>IF(C60="","",IFERROR(INDEX('판매구성'!$C$2:$C$501,MATCH(C60,'판매구성'!$A$2:$A$501,0)),""))</f>
        <v/>
      </c>
      <c r="J60" s="4">
        <f>IF(OR(C60="",E60=""),"",IFERROR(IF(INDEX('가격표'!$D$2:$K$501,MATCH(C60,'가격표'!$A$2:$A$501,0),MATCH(E60,'가격표'!$D$1:$K$1,0))="","",INDEX('가격표'!$D$2:$K$501,MATCH(C60,'가격표'!$A$2:$A$501,0),MATCH(E60,'가격표'!$D$1:$K$1,0))),""))</f>
        <v/>
      </c>
      <c r="K60" s="4">
        <f>IF(C60="","",IFERROR(INDEX('판매구성'!$D$2:$D$501,MATCH(C60,'판매구성'!$A$2:$A$501,0)),""))</f>
        <v/>
      </c>
      <c r="L60" s="4">
        <f>IF(OR(J60="",K60=""),"",ROUND(J60-(J60-K60)*'설정'!$B$2,0))</f>
        <v/>
      </c>
      <c r="M60" s="4">
        <f>IF(OR(A60="",J60=""),"",ROUND(J60*N(IFERROR(INDEX('판매채널'!$F$2:$F$501,MATCH(A60,'판매채널'!$A$2:$A$501,0)),"")),0))</f>
        <v/>
      </c>
      <c r="N60" s="4">
        <f>IF(OR(J60="",K60=""),"",J60-M60-K60)</f>
        <v/>
      </c>
      <c r="O60" s="5">
        <f>IF(OR(J60="",J60=0),"",N60/J60)</f>
        <v/>
      </c>
    </row>
    <row r="61">
      <c r="B61" s="2">
        <f>IF(A61="","",IFERROR(INDEX('판매채널'!$B$2:$B$501,MATCH(A61,'판매채널'!$A$2:$A$501,0)),""))</f>
        <v/>
      </c>
      <c r="D61" s="2">
        <f>IF(C61="","",IFERROR(INDEX('판매구성'!$B$2:$B$501,MATCH(C61,'판매구성'!$A$2:$A$501,0)),""))</f>
        <v/>
      </c>
      <c r="G61" s="3" t="n"/>
      <c r="I61" s="2">
        <f>IF(C61="","",IFERROR(INDEX('판매구성'!$C$2:$C$501,MATCH(C61,'판매구성'!$A$2:$A$501,0)),""))</f>
        <v/>
      </c>
      <c r="J61" s="4">
        <f>IF(OR(C61="",E61=""),"",IFERROR(IF(INDEX('가격표'!$D$2:$K$501,MATCH(C61,'가격표'!$A$2:$A$501,0),MATCH(E61,'가격표'!$D$1:$K$1,0))="","",INDEX('가격표'!$D$2:$K$501,MATCH(C61,'가격표'!$A$2:$A$501,0),MATCH(E61,'가격표'!$D$1:$K$1,0))),""))</f>
        <v/>
      </c>
      <c r="K61" s="4">
        <f>IF(C61="","",IFERROR(INDEX('판매구성'!$D$2:$D$501,MATCH(C61,'판매구성'!$A$2:$A$501,0)),""))</f>
        <v/>
      </c>
      <c r="L61" s="4">
        <f>IF(OR(J61="",K61=""),"",ROUND(J61-(J61-K61)*'설정'!$B$2,0))</f>
        <v/>
      </c>
      <c r="M61" s="4">
        <f>IF(OR(A61="",J61=""),"",ROUND(J61*N(IFERROR(INDEX('판매채널'!$F$2:$F$501,MATCH(A61,'판매채널'!$A$2:$A$501,0)),"")),0))</f>
        <v/>
      </c>
      <c r="N61" s="4">
        <f>IF(OR(J61="",K61=""),"",J61-M61-K61)</f>
        <v/>
      </c>
      <c r="O61" s="5">
        <f>IF(OR(J61="",J61=0),"",N61/J61)</f>
        <v/>
      </c>
    </row>
    <row r="62">
      <c r="B62" s="2">
        <f>IF(A62="","",IFERROR(INDEX('판매채널'!$B$2:$B$501,MATCH(A62,'판매채널'!$A$2:$A$501,0)),""))</f>
        <v/>
      </c>
      <c r="D62" s="2">
        <f>IF(C62="","",IFERROR(INDEX('판매구성'!$B$2:$B$501,MATCH(C62,'판매구성'!$A$2:$A$501,0)),""))</f>
        <v/>
      </c>
      <c r="G62" s="3" t="n"/>
      <c r="I62" s="2">
        <f>IF(C62="","",IFERROR(INDEX('판매구성'!$C$2:$C$501,MATCH(C62,'판매구성'!$A$2:$A$501,0)),""))</f>
        <v/>
      </c>
      <c r="J62" s="4">
        <f>IF(OR(C62="",E62=""),"",IFERROR(IF(INDEX('가격표'!$D$2:$K$501,MATCH(C62,'가격표'!$A$2:$A$501,0),MATCH(E62,'가격표'!$D$1:$K$1,0))="","",INDEX('가격표'!$D$2:$K$501,MATCH(C62,'가격표'!$A$2:$A$501,0),MATCH(E62,'가격표'!$D$1:$K$1,0))),""))</f>
        <v/>
      </c>
      <c r="K62" s="4">
        <f>IF(C62="","",IFERROR(INDEX('판매구성'!$D$2:$D$501,MATCH(C62,'판매구성'!$A$2:$A$501,0)),""))</f>
        <v/>
      </c>
      <c r="L62" s="4">
        <f>IF(OR(J62="",K62=""),"",ROUND(J62-(J62-K62)*'설정'!$B$2,0))</f>
        <v/>
      </c>
      <c r="M62" s="4">
        <f>IF(OR(A62="",J62=""),"",ROUND(J62*N(IFERROR(INDEX('판매채널'!$F$2:$F$501,MATCH(A62,'판매채널'!$A$2:$A$501,0)),"")),0))</f>
        <v/>
      </c>
      <c r="N62" s="4">
        <f>IF(OR(J62="",K62=""),"",J62-M62-K62)</f>
        <v/>
      </c>
      <c r="O62" s="5">
        <f>IF(OR(J62="",J62=0),"",N62/J62)</f>
        <v/>
      </c>
    </row>
    <row r="63">
      <c r="B63" s="2">
        <f>IF(A63="","",IFERROR(INDEX('판매채널'!$B$2:$B$501,MATCH(A63,'판매채널'!$A$2:$A$501,0)),""))</f>
        <v/>
      </c>
      <c r="D63" s="2">
        <f>IF(C63="","",IFERROR(INDEX('판매구성'!$B$2:$B$501,MATCH(C63,'판매구성'!$A$2:$A$501,0)),""))</f>
        <v/>
      </c>
      <c r="G63" s="3" t="n"/>
      <c r="I63" s="2">
        <f>IF(C63="","",IFERROR(INDEX('판매구성'!$C$2:$C$501,MATCH(C63,'판매구성'!$A$2:$A$501,0)),""))</f>
        <v/>
      </c>
      <c r="J63" s="4">
        <f>IF(OR(C63="",E63=""),"",IFERROR(IF(INDEX('가격표'!$D$2:$K$501,MATCH(C63,'가격표'!$A$2:$A$501,0),MATCH(E63,'가격표'!$D$1:$K$1,0))="","",INDEX('가격표'!$D$2:$K$501,MATCH(C63,'가격표'!$A$2:$A$501,0),MATCH(E63,'가격표'!$D$1:$K$1,0))),""))</f>
        <v/>
      </c>
      <c r="K63" s="4">
        <f>IF(C63="","",IFERROR(INDEX('판매구성'!$D$2:$D$501,MATCH(C63,'판매구성'!$A$2:$A$501,0)),""))</f>
        <v/>
      </c>
      <c r="L63" s="4">
        <f>IF(OR(J63="",K63=""),"",ROUND(J63-(J63-K63)*'설정'!$B$2,0))</f>
        <v/>
      </c>
      <c r="M63" s="4">
        <f>IF(OR(A63="",J63=""),"",ROUND(J63*N(IFERROR(INDEX('판매채널'!$F$2:$F$501,MATCH(A63,'판매채널'!$A$2:$A$501,0)),"")),0))</f>
        <v/>
      </c>
      <c r="N63" s="4">
        <f>IF(OR(J63="",K63=""),"",J63-M63-K63)</f>
        <v/>
      </c>
      <c r="O63" s="5">
        <f>IF(OR(J63="",J63=0),"",N63/J63)</f>
        <v/>
      </c>
    </row>
    <row r="64">
      <c r="B64" s="2">
        <f>IF(A64="","",IFERROR(INDEX('판매채널'!$B$2:$B$501,MATCH(A64,'판매채널'!$A$2:$A$501,0)),""))</f>
        <v/>
      </c>
      <c r="D64" s="2">
        <f>IF(C64="","",IFERROR(INDEX('판매구성'!$B$2:$B$501,MATCH(C64,'판매구성'!$A$2:$A$501,0)),""))</f>
        <v/>
      </c>
      <c r="G64" s="3" t="n"/>
      <c r="I64" s="2">
        <f>IF(C64="","",IFERROR(INDEX('판매구성'!$C$2:$C$501,MATCH(C64,'판매구성'!$A$2:$A$501,0)),""))</f>
        <v/>
      </c>
      <c r="J64" s="4">
        <f>IF(OR(C64="",E64=""),"",IFERROR(IF(INDEX('가격표'!$D$2:$K$501,MATCH(C64,'가격표'!$A$2:$A$501,0),MATCH(E64,'가격표'!$D$1:$K$1,0))="","",INDEX('가격표'!$D$2:$K$501,MATCH(C64,'가격표'!$A$2:$A$501,0),MATCH(E64,'가격표'!$D$1:$K$1,0))),""))</f>
        <v/>
      </c>
      <c r="K64" s="4">
        <f>IF(C64="","",IFERROR(INDEX('판매구성'!$D$2:$D$501,MATCH(C64,'판매구성'!$A$2:$A$501,0)),""))</f>
        <v/>
      </c>
      <c r="L64" s="4">
        <f>IF(OR(J64="",K64=""),"",ROUND(J64-(J64-K64)*'설정'!$B$2,0))</f>
        <v/>
      </c>
      <c r="M64" s="4">
        <f>IF(OR(A64="",J64=""),"",ROUND(J64*N(IFERROR(INDEX('판매채널'!$F$2:$F$501,MATCH(A64,'판매채널'!$A$2:$A$501,0)),"")),0))</f>
        <v/>
      </c>
      <c r="N64" s="4">
        <f>IF(OR(J64="",K64=""),"",J64-M64-K64)</f>
        <v/>
      </c>
      <c r="O64" s="5">
        <f>IF(OR(J64="",J64=0),"",N64/J64)</f>
        <v/>
      </c>
    </row>
    <row r="65">
      <c r="B65" s="2">
        <f>IF(A65="","",IFERROR(INDEX('판매채널'!$B$2:$B$501,MATCH(A65,'판매채널'!$A$2:$A$501,0)),""))</f>
        <v/>
      </c>
      <c r="D65" s="2">
        <f>IF(C65="","",IFERROR(INDEX('판매구성'!$B$2:$B$501,MATCH(C65,'판매구성'!$A$2:$A$501,0)),""))</f>
        <v/>
      </c>
      <c r="G65" s="3" t="n"/>
      <c r="I65" s="2">
        <f>IF(C65="","",IFERROR(INDEX('판매구성'!$C$2:$C$501,MATCH(C65,'판매구성'!$A$2:$A$501,0)),""))</f>
        <v/>
      </c>
      <c r="J65" s="4">
        <f>IF(OR(C65="",E65=""),"",IFERROR(IF(INDEX('가격표'!$D$2:$K$501,MATCH(C65,'가격표'!$A$2:$A$501,0),MATCH(E65,'가격표'!$D$1:$K$1,0))="","",INDEX('가격표'!$D$2:$K$501,MATCH(C65,'가격표'!$A$2:$A$501,0),MATCH(E65,'가격표'!$D$1:$K$1,0))),""))</f>
        <v/>
      </c>
      <c r="K65" s="4">
        <f>IF(C65="","",IFERROR(INDEX('판매구성'!$D$2:$D$501,MATCH(C65,'판매구성'!$A$2:$A$501,0)),""))</f>
        <v/>
      </c>
      <c r="L65" s="4">
        <f>IF(OR(J65="",K65=""),"",ROUND(J65-(J65-K65)*'설정'!$B$2,0))</f>
        <v/>
      </c>
      <c r="M65" s="4">
        <f>IF(OR(A65="",J65=""),"",ROUND(J65*N(IFERROR(INDEX('판매채널'!$F$2:$F$501,MATCH(A65,'판매채널'!$A$2:$A$501,0)),"")),0))</f>
        <v/>
      </c>
      <c r="N65" s="4">
        <f>IF(OR(J65="",K65=""),"",J65-M65-K65)</f>
        <v/>
      </c>
      <c r="O65" s="5">
        <f>IF(OR(J65="",J65=0),"",N65/J65)</f>
        <v/>
      </c>
    </row>
    <row r="66">
      <c r="B66" s="2">
        <f>IF(A66="","",IFERROR(INDEX('판매채널'!$B$2:$B$501,MATCH(A66,'판매채널'!$A$2:$A$501,0)),""))</f>
        <v/>
      </c>
      <c r="D66" s="2">
        <f>IF(C66="","",IFERROR(INDEX('판매구성'!$B$2:$B$501,MATCH(C66,'판매구성'!$A$2:$A$501,0)),""))</f>
        <v/>
      </c>
      <c r="G66" s="3" t="n"/>
      <c r="I66" s="2">
        <f>IF(C66="","",IFERROR(INDEX('판매구성'!$C$2:$C$501,MATCH(C66,'판매구성'!$A$2:$A$501,0)),""))</f>
        <v/>
      </c>
      <c r="J66" s="4">
        <f>IF(OR(C66="",E66=""),"",IFERROR(IF(INDEX('가격표'!$D$2:$K$501,MATCH(C66,'가격표'!$A$2:$A$501,0),MATCH(E66,'가격표'!$D$1:$K$1,0))="","",INDEX('가격표'!$D$2:$K$501,MATCH(C66,'가격표'!$A$2:$A$501,0),MATCH(E66,'가격표'!$D$1:$K$1,0))),""))</f>
        <v/>
      </c>
      <c r="K66" s="4">
        <f>IF(C66="","",IFERROR(INDEX('판매구성'!$D$2:$D$501,MATCH(C66,'판매구성'!$A$2:$A$501,0)),""))</f>
        <v/>
      </c>
      <c r="L66" s="4">
        <f>IF(OR(J66="",K66=""),"",ROUND(J66-(J66-K66)*'설정'!$B$2,0))</f>
        <v/>
      </c>
      <c r="M66" s="4">
        <f>IF(OR(A66="",J66=""),"",ROUND(J66*N(IFERROR(INDEX('판매채널'!$F$2:$F$501,MATCH(A66,'판매채널'!$A$2:$A$501,0)),"")),0))</f>
        <v/>
      </c>
      <c r="N66" s="4">
        <f>IF(OR(J66="",K66=""),"",J66-M66-K66)</f>
        <v/>
      </c>
      <c r="O66" s="5">
        <f>IF(OR(J66="",J66=0),"",N66/J66)</f>
        <v/>
      </c>
    </row>
    <row r="67">
      <c r="B67" s="2">
        <f>IF(A67="","",IFERROR(INDEX('판매채널'!$B$2:$B$501,MATCH(A67,'판매채널'!$A$2:$A$501,0)),""))</f>
        <v/>
      </c>
      <c r="D67" s="2">
        <f>IF(C67="","",IFERROR(INDEX('판매구성'!$B$2:$B$501,MATCH(C67,'판매구성'!$A$2:$A$501,0)),""))</f>
        <v/>
      </c>
      <c r="G67" s="3" t="n"/>
      <c r="I67" s="2">
        <f>IF(C67="","",IFERROR(INDEX('판매구성'!$C$2:$C$501,MATCH(C67,'판매구성'!$A$2:$A$501,0)),""))</f>
        <v/>
      </c>
      <c r="J67" s="4">
        <f>IF(OR(C67="",E67=""),"",IFERROR(IF(INDEX('가격표'!$D$2:$K$501,MATCH(C67,'가격표'!$A$2:$A$501,0),MATCH(E67,'가격표'!$D$1:$K$1,0))="","",INDEX('가격표'!$D$2:$K$501,MATCH(C67,'가격표'!$A$2:$A$501,0),MATCH(E67,'가격표'!$D$1:$K$1,0))),""))</f>
        <v/>
      </c>
      <c r="K67" s="4">
        <f>IF(C67="","",IFERROR(INDEX('판매구성'!$D$2:$D$501,MATCH(C67,'판매구성'!$A$2:$A$501,0)),""))</f>
        <v/>
      </c>
      <c r="L67" s="4">
        <f>IF(OR(J67="",K67=""),"",ROUND(J67-(J67-K67)*'설정'!$B$2,0))</f>
        <v/>
      </c>
      <c r="M67" s="4">
        <f>IF(OR(A67="",J67=""),"",ROUND(J67*N(IFERROR(INDEX('판매채널'!$F$2:$F$501,MATCH(A67,'판매채널'!$A$2:$A$501,0)),"")),0))</f>
        <v/>
      </c>
      <c r="N67" s="4">
        <f>IF(OR(J67="",K67=""),"",J67-M67-K67)</f>
        <v/>
      </c>
      <c r="O67" s="5">
        <f>IF(OR(J67="",J67=0),"",N67/J67)</f>
        <v/>
      </c>
    </row>
    <row r="68">
      <c r="B68" s="2">
        <f>IF(A68="","",IFERROR(INDEX('판매채널'!$B$2:$B$501,MATCH(A68,'판매채널'!$A$2:$A$501,0)),""))</f>
        <v/>
      </c>
      <c r="D68" s="2">
        <f>IF(C68="","",IFERROR(INDEX('판매구성'!$B$2:$B$501,MATCH(C68,'판매구성'!$A$2:$A$501,0)),""))</f>
        <v/>
      </c>
      <c r="G68" s="3" t="n"/>
      <c r="I68" s="2">
        <f>IF(C68="","",IFERROR(INDEX('판매구성'!$C$2:$C$501,MATCH(C68,'판매구성'!$A$2:$A$501,0)),""))</f>
        <v/>
      </c>
      <c r="J68" s="4">
        <f>IF(OR(C68="",E68=""),"",IFERROR(IF(INDEX('가격표'!$D$2:$K$501,MATCH(C68,'가격표'!$A$2:$A$501,0),MATCH(E68,'가격표'!$D$1:$K$1,0))="","",INDEX('가격표'!$D$2:$K$501,MATCH(C68,'가격표'!$A$2:$A$501,0),MATCH(E68,'가격표'!$D$1:$K$1,0))),""))</f>
        <v/>
      </c>
      <c r="K68" s="4">
        <f>IF(C68="","",IFERROR(INDEX('판매구성'!$D$2:$D$501,MATCH(C68,'판매구성'!$A$2:$A$501,0)),""))</f>
        <v/>
      </c>
      <c r="L68" s="4">
        <f>IF(OR(J68="",K68=""),"",ROUND(J68-(J68-K68)*'설정'!$B$2,0))</f>
        <v/>
      </c>
      <c r="M68" s="4">
        <f>IF(OR(A68="",J68=""),"",ROUND(J68*N(IFERROR(INDEX('판매채널'!$F$2:$F$501,MATCH(A68,'판매채널'!$A$2:$A$501,0)),"")),0))</f>
        <v/>
      </c>
      <c r="N68" s="4">
        <f>IF(OR(J68="",K68=""),"",J68-M68-K68)</f>
        <v/>
      </c>
      <c r="O68" s="5">
        <f>IF(OR(J68="",J68=0),"",N68/J68)</f>
        <v/>
      </c>
    </row>
    <row r="69">
      <c r="B69" s="2">
        <f>IF(A69="","",IFERROR(INDEX('판매채널'!$B$2:$B$501,MATCH(A69,'판매채널'!$A$2:$A$501,0)),""))</f>
        <v/>
      </c>
      <c r="D69" s="2">
        <f>IF(C69="","",IFERROR(INDEX('판매구성'!$B$2:$B$501,MATCH(C69,'판매구성'!$A$2:$A$501,0)),""))</f>
        <v/>
      </c>
      <c r="G69" s="3" t="n"/>
      <c r="I69" s="2">
        <f>IF(C69="","",IFERROR(INDEX('판매구성'!$C$2:$C$501,MATCH(C69,'판매구성'!$A$2:$A$501,0)),""))</f>
        <v/>
      </c>
      <c r="J69" s="4">
        <f>IF(OR(C69="",E69=""),"",IFERROR(IF(INDEX('가격표'!$D$2:$K$501,MATCH(C69,'가격표'!$A$2:$A$501,0),MATCH(E69,'가격표'!$D$1:$K$1,0))="","",INDEX('가격표'!$D$2:$K$501,MATCH(C69,'가격표'!$A$2:$A$501,0),MATCH(E69,'가격표'!$D$1:$K$1,0))),""))</f>
        <v/>
      </c>
      <c r="K69" s="4">
        <f>IF(C69="","",IFERROR(INDEX('판매구성'!$D$2:$D$501,MATCH(C69,'판매구성'!$A$2:$A$501,0)),""))</f>
        <v/>
      </c>
      <c r="L69" s="4">
        <f>IF(OR(J69="",K69=""),"",ROUND(J69-(J69-K69)*'설정'!$B$2,0))</f>
        <v/>
      </c>
      <c r="M69" s="4">
        <f>IF(OR(A69="",J69=""),"",ROUND(J69*N(IFERROR(INDEX('판매채널'!$F$2:$F$501,MATCH(A69,'판매채널'!$A$2:$A$501,0)),"")),0))</f>
        <v/>
      </c>
      <c r="N69" s="4">
        <f>IF(OR(J69="",K69=""),"",J69-M69-K69)</f>
        <v/>
      </c>
      <c r="O69" s="5">
        <f>IF(OR(J69="",J69=0),"",N69/J69)</f>
        <v/>
      </c>
    </row>
    <row r="70">
      <c r="B70" s="2">
        <f>IF(A70="","",IFERROR(INDEX('판매채널'!$B$2:$B$501,MATCH(A70,'판매채널'!$A$2:$A$501,0)),""))</f>
        <v/>
      </c>
      <c r="D70" s="2">
        <f>IF(C70="","",IFERROR(INDEX('판매구성'!$B$2:$B$501,MATCH(C70,'판매구성'!$A$2:$A$501,0)),""))</f>
        <v/>
      </c>
      <c r="G70" s="3" t="n"/>
      <c r="I70" s="2">
        <f>IF(C70="","",IFERROR(INDEX('판매구성'!$C$2:$C$501,MATCH(C70,'판매구성'!$A$2:$A$501,0)),""))</f>
        <v/>
      </c>
      <c r="J70" s="4">
        <f>IF(OR(C70="",E70=""),"",IFERROR(IF(INDEX('가격표'!$D$2:$K$501,MATCH(C70,'가격표'!$A$2:$A$501,0),MATCH(E70,'가격표'!$D$1:$K$1,0))="","",INDEX('가격표'!$D$2:$K$501,MATCH(C70,'가격표'!$A$2:$A$501,0),MATCH(E70,'가격표'!$D$1:$K$1,0))),""))</f>
        <v/>
      </c>
      <c r="K70" s="4">
        <f>IF(C70="","",IFERROR(INDEX('판매구성'!$D$2:$D$501,MATCH(C70,'판매구성'!$A$2:$A$501,0)),""))</f>
        <v/>
      </c>
      <c r="L70" s="4">
        <f>IF(OR(J70="",K70=""),"",ROUND(J70-(J70-K70)*'설정'!$B$2,0))</f>
        <v/>
      </c>
      <c r="M70" s="4">
        <f>IF(OR(A70="",J70=""),"",ROUND(J70*N(IFERROR(INDEX('판매채널'!$F$2:$F$501,MATCH(A70,'판매채널'!$A$2:$A$501,0)),"")),0))</f>
        <v/>
      </c>
      <c r="N70" s="4">
        <f>IF(OR(J70="",K70=""),"",J70-M70-K70)</f>
        <v/>
      </c>
      <c r="O70" s="5">
        <f>IF(OR(J70="",J70=0),"",N70/J70)</f>
        <v/>
      </c>
    </row>
    <row r="71">
      <c r="B71" s="2">
        <f>IF(A71="","",IFERROR(INDEX('판매채널'!$B$2:$B$501,MATCH(A71,'판매채널'!$A$2:$A$501,0)),""))</f>
        <v/>
      </c>
      <c r="D71" s="2">
        <f>IF(C71="","",IFERROR(INDEX('판매구성'!$B$2:$B$501,MATCH(C71,'판매구성'!$A$2:$A$501,0)),""))</f>
        <v/>
      </c>
      <c r="G71" s="3" t="n"/>
      <c r="I71" s="2">
        <f>IF(C71="","",IFERROR(INDEX('판매구성'!$C$2:$C$501,MATCH(C71,'판매구성'!$A$2:$A$501,0)),""))</f>
        <v/>
      </c>
      <c r="J71" s="4">
        <f>IF(OR(C71="",E71=""),"",IFERROR(IF(INDEX('가격표'!$D$2:$K$501,MATCH(C71,'가격표'!$A$2:$A$501,0),MATCH(E71,'가격표'!$D$1:$K$1,0))="","",INDEX('가격표'!$D$2:$K$501,MATCH(C71,'가격표'!$A$2:$A$501,0),MATCH(E71,'가격표'!$D$1:$K$1,0))),""))</f>
        <v/>
      </c>
      <c r="K71" s="4">
        <f>IF(C71="","",IFERROR(INDEX('판매구성'!$D$2:$D$501,MATCH(C71,'판매구성'!$A$2:$A$501,0)),""))</f>
        <v/>
      </c>
      <c r="L71" s="4">
        <f>IF(OR(J71="",K71=""),"",ROUND(J71-(J71-K71)*'설정'!$B$2,0))</f>
        <v/>
      </c>
      <c r="M71" s="4">
        <f>IF(OR(A71="",J71=""),"",ROUND(J71*N(IFERROR(INDEX('판매채널'!$F$2:$F$501,MATCH(A71,'판매채널'!$A$2:$A$501,0)),"")),0))</f>
        <v/>
      </c>
      <c r="N71" s="4">
        <f>IF(OR(J71="",K71=""),"",J71-M71-K71)</f>
        <v/>
      </c>
      <c r="O71" s="5">
        <f>IF(OR(J71="",J71=0),"",N71/J71)</f>
        <v/>
      </c>
    </row>
    <row r="72">
      <c r="B72" s="2">
        <f>IF(A72="","",IFERROR(INDEX('판매채널'!$B$2:$B$501,MATCH(A72,'판매채널'!$A$2:$A$501,0)),""))</f>
        <v/>
      </c>
      <c r="D72" s="2">
        <f>IF(C72="","",IFERROR(INDEX('판매구성'!$B$2:$B$501,MATCH(C72,'판매구성'!$A$2:$A$501,0)),""))</f>
        <v/>
      </c>
      <c r="G72" s="3" t="n"/>
      <c r="I72" s="2">
        <f>IF(C72="","",IFERROR(INDEX('판매구성'!$C$2:$C$501,MATCH(C72,'판매구성'!$A$2:$A$501,0)),""))</f>
        <v/>
      </c>
      <c r="J72" s="4">
        <f>IF(OR(C72="",E72=""),"",IFERROR(IF(INDEX('가격표'!$D$2:$K$501,MATCH(C72,'가격표'!$A$2:$A$501,0),MATCH(E72,'가격표'!$D$1:$K$1,0))="","",INDEX('가격표'!$D$2:$K$501,MATCH(C72,'가격표'!$A$2:$A$501,0),MATCH(E72,'가격표'!$D$1:$K$1,0))),""))</f>
        <v/>
      </c>
      <c r="K72" s="4">
        <f>IF(C72="","",IFERROR(INDEX('판매구성'!$D$2:$D$501,MATCH(C72,'판매구성'!$A$2:$A$501,0)),""))</f>
        <v/>
      </c>
      <c r="L72" s="4">
        <f>IF(OR(J72="",K72=""),"",ROUND(J72-(J72-K72)*'설정'!$B$2,0))</f>
        <v/>
      </c>
      <c r="M72" s="4">
        <f>IF(OR(A72="",J72=""),"",ROUND(J72*N(IFERROR(INDEX('판매채널'!$F$2:$F$501,MATCH(A72,'판매채널'!$A$2:$A$501,0)),"")),0))</f>
        <v/>
      </c>
      <c r="N72" s="4">
        <f>IF(OR(J72="",K72=""),"",J72-M72-K72)</f>
        <v/>
      </c>
      <c r="O72" s="5">
        <f>IF(OR(J72="",J72=0),"",N72/J72)</f>
        <v/>
      </c>
    </row>
    <row r="73">
      <c r="B73" s="2">
        <f>IF(A73="","",IFERROR(INDEX('판매채널'!$B$2:$B$501,MATCH(A73,'판매채널'!$A$2:$A$501,0)),""))</f>
        <v/>
      </c>
      <c r="D73" s="2">
        <f>IF(C73="","",IFERROR(INDEX('판매구성'!$B$2:$B$501,MATCH(C73,'판매구성'!$A$2:$A$501,0)),""))</f>
        <v/>
      </c>
      <c r="G73" s="3" t="n"/>
      <c r="I73" s="2">
        <f>IF(C73="","",IFERROR(INDEX('판매구성'!$C$2:$C$501,MATCH(C73,'판매구성'!$A$2:$A$501,0)),""))</f>
        <v/>
      </c>
      <c r="J73" s="4">
        <f>IF(OR(C73="",E73=""),"",IFERROR(IF(INDEX('가격표'!$D$2:$K$501,MATCH(C73,'가격표'!$A$2:$A$501,0),MATCH(E73,'가격표'!$D$1:$K$1,0))="","",INDEX('가격표'!$D$2:$K$501,MATCH(C73,'가격표'!$A$2:$A$501,0),MATCH(E73,'가격표'!$D$1:$K$1,0))),""))</f>
        <v/>
      </c>
      <c r="K73" s="4">
        <f>IF(C73="","",IFERROR(INDEX('판매구성'!$D$2:$D$501,MATCH(C73,'판매구성'!$A$2:$A$501,0)),""))</f>
        <v/>
      </c>
      <c r="L73" s="4">
        <f>IF(OR(J73="",K73=""),"",ROUND(J73-(J73-K73)*'설정'!$B$2,0))</f>
        <v/>
      </c>
      <c r="M73" s="4">
        <f>IF(OR(A73="",J73=""),"",ROUND(J73*N(IFERROR(INDEX('판매채널'!$F$2:$F$501,MATCH(A73,'판매채널'!$A$2:$A$501,0)),"")),0))</f>
        <v/>
      </c>
      <c r="N73" s="4">
        <f>IF(OR(J73="",K73=""),"",J73-M73-K73)</f>
        <v/>
      </c>
      <c r="O73" s="5">
        <f>IF(OR(J73="",J73=0),"",N73/J73)</f>
        <v/>
      </c>
    </row>
    <row r="74">
      <c r="B74" s="2">
        <f>IF(A74="","",IFERROR(INDEX('판매채널'!$B$2:$B$501,MATCH(A74,'판매채널'!$A$2:$A$501,0)),""))</f>
        <v/>
      </c>
      <c r="D74" s="2">
        <f>IF(C74="","",IFERROR(INDEX('판매구성'!$B$2:$B$501,MATCH(C74,'판매구성'!$A$2:$A$501,0)),""))</f>
        <v/>
      </c>
      <c r="G74" s="3" t="n"/>
      <c r="I74" s="2">
        <f>IF(C74="","",IFERROR(INDEX('판매구성'!$C$2:$C$501,MATCH(C74,'판매구성'!$A$2:$A$501,0)),""))</f>
        <v/>
      </c>
      <c r="J74" s="4">
        <f>IF(OR(C74="",E74=""),"",IFERROR(IF(INDEX('가격표'!$D$2:$K$501,MATCH(C74,'가격표'!$A$2:$A$501,0),MATCH(E74,'가격표'!$D$1:$K$1,0))="","",INDEX('가격표'!$D$2:$K$501,MATCH(C74,'가격표'!$A$2:$A$501,0),MATCH(E74,'가격표'!$D$1:$K$1,0))),""))</f>
        <v/>
      </c>
      <c r="K74" s="4">
        <f>IF(C74="","",IFERROR(INDEX('판매구성'!$D$2:$D$501,MATCH(C74,'판매구성'!$A$2:$A$501,0)),""))</f>
        <v/>
      </c>
      <c r="L74" s="4">
        <f>IF(OR(J74="",K74=""),"",ROUND(J74-(J74-K74)*'설정'!$B$2,0))</f>
        <v/>
      </c>
      <c r="M74" s="4">
        <f>IF(OR(A74="",J74=""),"",ROUND(J74*N(IFERROR(INDEX('판매채널'!$F$2:$F$501,MATCH(A74,'판매채널'!$A$2:$A$501,0)),"")),0))</f>
        <v/>
      </c>
      <c r="N74" s="4">
        <f>IF(OR(J74="",K74=""),"",J74-M74-K74)</f>
        <v/>
      </c>
      <c r="O74" s="5">
        <f>IF(OR(J74="",J74=0),"",N74/J74)</f>
        <v/>
      </c>
    </row>
    <row r="75">
      <c r="B75" s="2">
        <f>IF(A75="","",IFERROR(INDEX('판매채널'!$B$2:$B$501,MATCH(A75,'판매채널'!$A$2:$A$501,0)),""))</f>
        <v/>
      </c>
      <c r="D75" s="2">
        <f>IF(C75="","",IFERROR(INDEX('판매구성'!$B$2:$B$501,MATCH(C75,'판매구성'!$A$2:$A$501,0)),""))</f>
        <v/>
      </c>
      <c r="G75" s="3" t="n"/>
      <c r="I75" s="2">
        <f>IF(C75="","",IFERROR(INDEX('판매구성'!$C$2:$C$501,MATCH(C75,'판매구성'!$A$2:$A$501,0)),""))</f>
        <v/>
      </c>
      <c r="J75" s="4">
        <f>IF(OR(C75="",E75=""),"",IFERROR(IF(INDEX('가격표'!$D$2:$K$501,MATCH(C75,'가격표'!$A$2:$A$501,0),MATCH(E75,'가격표'!$D$1:$K$1,0))="","",INDEX('가격표'!$D$2:$K$501,MATCH(C75,'가격표'!$A$2:$A$501,0),MATCH(E75,'가격표'!$D$1:$K$1,0))),""))</f>
        <v/>
      </c>
      <c r="K75" s="4">
        <f>IF(C75="","",IFERROR(INDEX('판매구성'!$D$2:$D$501,MATCH(C75,'판매구성'!$A$2:$A$501,0)),""))</f>
        <v/>
      </c>
      <c r="L75" s="4">
        <f>IF(OR(J75="",K75=""),"",ROUND(J75-(J75-K75)*'설정'!$B$2,0))</f>
        <v/>
      </c>
      <c r="M75" s="4">
        <f>IF(OR(A75="",J75=""),"",ROUND(J75*N(IFERROR(INDEX('판매채널'!$F$2:$F$501,MATCH(A75,'판매채널'!$A$2:$A$501,0)),"")),0))</f>
        <v/>
      </c>
      <c r="N75" s="4">
        <f>IF(OR(J75="",K75=""),"",J75-M75-K75)</f>
        <v/>
      </c>
      <c r="O75" s="5">
        <f>IF(OR(J75="",J75=0),"",N75/J75)</f>
        <v/>
      </c>
    </row>
    <row r="76">
      <c r="B76" s="2">
        <f>IF(A76="","",IFERROR(INDEX('판매채널'!$B$2:$B$501,MATCH(A76,'판매채널'!$A$2:$A$501,0)),""))</f>
        <v/>
      </c>
      <c r="D76" s="2">
        <f>IF(C76="","",IFERROR(INDEX('판매구성'!$B$2:$B$501,MATCH(C76,'판매구성'!$A$2:$A$501,0)),""))</f>
        <v/>
      </c>
      <c r="G76" s="3" t="n"/>
      <c r="I76" s="2">
        <f>IF(C76="","",IFERROR(INDEX('판매구성'!$C$2:$C$501,MATCH(C76,'판매구성'!$A$2:$A$501,0)),""))</f>
        <v/>
      </c>
      <c r="J76" s="4">
        <f>IF(OR(C76="",E76=""),"",IFERROR(IF(INDEX('가격표'!$D$2:$K$501,MATCH(C76,'가격표'!$A$2:$A$501,0),MATCH(E76,'가격표'!$D$1:$K$1,0))="","",INDEX('가격표'!$D$2:$K$501,MATCH(C76,'가격표'!$A$2:$A$501,0),MATCH(E76,'가격표'!$D$1:$K$1,0))),""))</f>
        <v/>
      </c>
      <c r="K76" s="4">
        <f>IF(C76="","",IFERROR(INDEX('판매구성'!$D$2:$D$501,MATCH(C76,'판매구성'!$A$2:$A$501,0)),""))</f>
        <v/>
      </c>
      <c r="L76" s="4">
        <f>IF(OR(J76="",K76=""),"",ROUND(J76-(J76-K76)*'설정'!$B$2,0))</f>
        <v/>
      </c>
      <c r="M76" s="4">
        <f>IF(OR(A76="",J76=""),"",ROUND(J76*N(IFERROR(INDEX('판매채널'!$F$2:$F$501,MATCH(A76,'판매채널'!$A$2:$A$501,0)),"")),0))</f>
        <v/>
      </c>
      <c r="N76" s="4">
        <f>IF(OR(J76="",K76=""),"",J76-M76-K76)</f>
        <v/>
      </c>
      <c r="O76" s="5">
        <f>IF(OR(J76="",J76=0),"",N76/J76)</f>
        <v/>
      </c>
    </row>
    <row r="77">
      <c r="B77" s="2">
        <f>IF(A77="","",IFERROR(INDEX('판매채널'!$B$2:$B$501,MATCH(A77,'판매채널'!$A$2:$A$501,0)),""))</f>
        <v/>
      </c>
      <c r="D77" s="2">
        <f>IF(C77="","",IFERROR(INDEX('판매구성'!$B$2:$B$501,MATCH(C77,'판매구성'!$A$2:$A$501,0)),""))</f>
        <v/>
      </c>
      <c r="G77" s="3" t="n"/>
      <c r="I77" s="2">
        <f>IF(C77="","",IFERROR(INDEX('판매구성'!$C$2:$C$501,MATCH(C77,'판매구성'!$A$2:$A$501,0)),""))</f>
        <v/>
      </c>
      <c r="J77" s="4">
        <f>IF(OR(C77="",E77=""),"",IFERROR(IF(INDEX('가격표'!$D$2:$K$501,MATCH(C77,'가격표'!$A$2:$A$501,0),MATCH(E77,'가격표'!$D$1:$K$1,0))="","",INDEX('가격표'!$D$2:$K$501,MATCH(C77,'가격표'!$A$2:$A$501,0),MATCH(E77,'가격표'!$D$1:$K$1,0))),""))</f>
        <v/>
      </c>
      <c r="K77" s="4">
        <f>IF(C77="","",IFERROR(INDEX('판매구성'!$D$2:$D$501,MATCH(C77,'판매구성'!$A$2:$A$501,0)),""))</f>
        <v/>
      </c>
      <c r="L77" s="4">
        <f>IF(OR(J77="",K77=""),"",ROUND(J77-(J77-K77)*'설정'!$B$2,0))</f>
        <v/>
      </c>
      <c r="M77" s="4">
        <f>IF(OR(A77="",J77=""),"",ROUND(J77*N(IFERROR(INDEX('판매채널'!$F$2:$F$501,MATCH(A77,'판매채널'!$A$2:$A$501,0)),"")),0))</f>
        <v/>
      </c>
      <c r="N77" s="4">
        <f>IF(OR(J77="",K77=""),"",J77-M77-K77)</f>
        <v/>
      </c>
      <c r="O77" s="5">
        <f>IF(OR(J77="",J77=0),"",N77/J77)</f>
        <v/>
      </c>
    </row>
    <row r="78">
      <c r="B78" s="2">
        <f>IF(A78="","",IFERROR(INDEX('판매채널'!$B$2:$B$501,MATCH(A78,'판매채널'!$A$2:$A$501,0)),""))</f>
        <v/>
      </c>
      <c r="D78" s="2">
        <f>IF(C78="","",IFERROR(INDEX('판매구성'!$B$2:$B$501,MATCH(C78,'판매구성'!$A$2:$A$501,0)),""))</f>
        <v/>
      </c>
      <c r="G78" s="3" t="n"/>
      <c r="I78" s="2">
        <f>IF(C78="","",IFERROR(INDEX('판매구성'!$C$2:$C$501,MATCH(C78,'판매구성'!$A$2:$A$501,0)),""))</f>
        <v/>
      </c>
      <c r="J78" s="4">
        <f>IF(OR(C78="",E78=""),"",IFERROR(IF(INDEX('가격표'!$D$2:$K$501,MATCH(C78,'가격표'!$A$2:$A$501,0),MATCH(E78,'가격표'!$D$1:$K$1,0))="","",INDEX('가격표'!$D$2:$K$501,MATCH(C78,'가격표'!$A$2:$A$501,0),MATCH(E78,'가격표'!$D$1:$K$1,0))),""))</f>
        <v/>
      </c>
      <c r="K78" s="4">
        <f>IF(C78="","",IFERROR(INDEX('판매구성'!$D$2:$D$501,MATCH(C78,'판매구성'!$A$2:$A$501,0)),""))</f>
        <v/>
      </c>
      <c r="L78" s="4">
        <f>IF(OR(J78="",K78=""),"",ROUND(J78-(J78-K78)*'설정'!$B$2,0))</f>
        <v/>
      </c>
      <c r="M78" s="4">
        <f>IF(OR(A78="",J78=""),"",ROUND(J78*N(IFERROR(INDEX('판매채널'!$F$2:$F$501,MATCH(A78,'판매채널'!$A$2:$A$501,0)),"")),0))</f>
        <v/>
      </c>
      <c r="N78" s="4">
        <f>IF(OR(J78="",K78=""),"",J78-M78-K78)</f>
        <v/>
      </c>
      <c r="O78" s="5">
        <f>IF(OR(J78="",J78=0),"",N78/J78)</f>
        <v/>
      </c>
    </row>
    <row r="79">
      <c r="B79" s="2">
        <f>IF(A79="","",IFERROR(INDEX('판매채널'!$B$2:$B$501,MATCH(A79,'판매채널'!$A$2:$A$501,0)),""))</f>
        <v/>
      </c>
      <c r="D79" s="2">
        <f>IF(C79="","",IFERROR(INDEX('판매구성'!$B$2:$B$501,MATCH(C79,'판매구성'!$A$2:$A$501,0)),""))</f>
        <v/>
      </c>
      <c r="G79" s="3" t="n"/>
      <c r="I79" s="2">
        <f>IF(C79="","",IFERROR(INDEX('판매구성'!$C$2:$C$501,MATCH(C79,'판매구성'!$A$2:$A$501,0)),""))</f>
        <v/>
      </c>
      <c r="J79" s="4">
        <f>IF(OR(C79="",E79=""),"",IFERROR(IF(INDEX('가격표'!$D$2:$K$501,MATCH(C79,'가격표'!$A$2:$A$501,0),MATCH(E79,'가격표'!$D$1:$K$1,0))="","",INDEX('가격표'!$D$2:$K$501,MATCH(C79,'가격표'!$A$2:$A$501,0),MATCH(E79,'가격표'!$D$1:$K$1,0))),""))</f>
        <v/>
      </c>
      <c r="K79" s="4">
        <f>IF(C79="","",IFERROR(INDEX('판매구성'!$D$2:$D$501,MATCH(C79,'판매구성'!$A$2:$A$501,0)),""))</f>
        <v/>
      </c>
      <c r="L79" s="4">
        <f>IF(OR(J79="",K79=""),"",ROUND(J79-(J79-K79)*'설정'!$B$2,0))</f>
        <v/>
      </c>
      <c r="M79" s="4">
        <f>IF(OR(A79="",J79=""),"",ROUND(J79*N(IFERROR(INDEX('판매채널'!$F$2:$F$501,MATCH(A79,'판매채널'!$A$2:$A$501,0)),"")),0))</f>
        <v/>
      </c>
      <c r="N79" s="4">
        <f>IF(OR(J79="",K79=""),"",J79-M79-K79)</f>
        <v/>
      </c>
      <c r="O79" s="5">
        <f>IF(OR(J79="",J79=0),"",N79/J79)</f>
        <v/>
      </c>
    </row>
    <row r="80">
      <c r="B80" s="2">
        <f>IF(A80="","",IFERROR(INDEX('판매채널'!$B$2:$B$501,MATCH(A80,'판매채널'!$A$2:$A$501,0)),""))</f>
        <v/>
      </c>
      <c r="D80" s="2">
        <f>IF(C80="","",IFERROR(INDEX('판매구성'!$B$2:$B$501,MATCH(C80,'판매구성'!$A$2:$A$501,0)),""))</f>
        <v/>
      </c>
      <c r="G80" s="3" t="n"/>
      <c r="I80" s="2">
        <f>IF(C80="","",IFERROR(INDEX('판매구성'!$C$2:$C$501,MATCH(C80,'판매구성'!$A$2:$A$501,0)),""))</f>
        <v/>
      </c>
      <c r="J80" s="4">
        <f>IF(OR(C80="",E80=""),"",IFERROR(IF(INDEX('가격표'!$D$2:$K$501,MATCH(C80,'가격표'!$A$2:$A$501,0),MATCH(E80,'가격표'!$D$1:$K$1,0))="","",INDEX('가격표'!$D$2:$K$501,MATCH(C80,'가격표'!$A$2:$A$501,0),MATCH(E80,'가격표'!$D$1:$K$1,0))),""))</f>
        <v/>
      </c>
      <c r="K80" s="4">
        <f>IF(C80="","",IFERROR(INDEX('판매구성'!$D$2:$D$501,MATCH(C80,'판매구성'!$A$2:$A$501,0)),""))</f>
        <v/>
      </c>
      <c r="L80" s="4">
        <f>IF(OR(J80="",K80=""),"",ROUND(J80-(J80-K80)*'설정'!$B$2,0))</f>
        <v/>
      </c>
      <c r="M80" s="4">
        <f>IF(OR(A80="",J80=""),"",ROUND(J80*N(IFERROR(INDEX('판매채널'!$F$2:$F$501,MATCH(A80,'판매채널'!$A$2:$A$501,0)),"")),0))</f>
        <v/>
      </c>
      <c r="N80" s="4">
        <f>IF(OR(J80="",K80=""),"",J80-M80-K80)</f>
        <v/>
      </c>
      <c r="O80" s="5">
        <f>IF(OR(J80="",J80=0),"",N80/J80)</f>
        <v/>
      </c>
    </row>
    <row r="81">
      <c r="B81" s="2">
        <f>IF(A81="","",IFERROR(INDEX('판매채널'!$B$2:$B$501,MATCH(A81,'판매채널'!$A$2:$A$501,0)),""))</f>
        <v/>
      </c>
      <c r="D81" s="2">
        <f>IF(C81="","",IFERROR(INDEX('판매구성'!$B$2:$B$501,MATCH(C81,'판매구성'!$A$2:$A$501,0)),""))</f>
        <v/>
      </c>
      <c r="G81" s="3" t="n"/>
      <c r="I81" s="2">
        <f>IF(C81="","",IFERROR(INDEX('판매구성'!$C$2:$C$501,MATCH(C81,'판매구성'!$A$2:$A$501,0)),""))</f>
        <v/>
      </c>
      <c r="J81" s="4">
        <f>IF(OR(C81="",E81=""),"",IFERROR(IF(INDEX('가격표'!$D$2:$K$501,MATCH(C81,'가격표'!$A$2:$A$501,0),MATCH(E81,'가격표'!$D$1:$K$1,0))="","",INDEX('가격표'!$D$2:$K$501,MATCH(C81,'가격표'!$A$2:$A$501,0),MATCH(E81,'가격표'!$D$1:$K$1,0))),""))</f>
        <v/>
      </c>
      <c r="K81" s="4">
        <f>IF(C81="","",IFERROR(INDEX('판매구성'!$D$2:$D$501,MATCH(C81,'판매구성'!$A$2:$A$501,0)),""))</f>
        <v/>
      </c>
      <c r="L81" s="4">
        <f>IF(OR(J81="",K81=""),"",ROUND(J81-(J81-K81)*'설정'!$B$2,0))</f>
        <v/>
      </c>
      <c r="M81" s="4">
        <f>IF(OR(A81="",J81=""),"",ROUND(J81*N(IFERROR(INDEX('판매채널'!$F$2:$F$501,MATCH(A81,'판매채널'!$A$2:$A$501,0)),"")),0))</f>
        <v/>
      </c>
      <c r="N81" s="4">
        <f>IF(OR(J81="",K81=""),"",J81-M81-K81)</f>
        <v/>
      </c>
      <c r="O81" s="5">
        <f>IF(OR(J81="",J81=0),"",N81/J81)</f>
        <v/>
      </c>
    </row>
    <row r="82">
      <c r="B82" s="2">
        <f>IF(A82="","",IFERROR(INDEX('판매채널'!$B$2:$B$501,MATCH(A82,'판매채널'!$A$2:$A$501,0)),""))</f>
        <v/>
      </c>
      <c r="D82" s="2">
        <f>IF(C82="","",IFERROR(INDEX('판매구성'!$B$2:$B$501,MATCH(C82,'판매구성'!$A$2:$A$501,0)),""))</f>
        <v/>
      </c>
      <c r="G82" s="3" t="n"/>
      <c r="I82" s="2">
        <f>IF(C82="","",IFERROR(INDEX('판매구성'!$C$2:$C$501,MATCH(C82,'판매구성'!$A$2:$A$501,0)),""))</f>
        <v/>
      </c>
      <c r="J82" s="4">
        <f>IF(OR(C82="",E82=""),"",IFERROR(IF(INDEX('가격표'!$D$2:$K$501,MATCH(C82,'가격표'!$A$2:$A$501,0),MATCH(E82,'가격표'!$D$1:$K$1,0))="","",INDEX('가격표'!$D$2:$K$501,MATCH(C82,'가격표'!$A$2:$A$501,0),MATCH(E82,'가격표'!$D$1:$K$1,0))),""))</f>
        <v/>
      </c>
      <c r="K82" s="4">
        <f>IF(C82="","",IFERROR(INDEX('판매구성'!$D$2:$D$501,MATCH(C82,'판매구성'!$A$2:$A$501,0)),""))</f>
        <v/>
      </c>
      <c r="L82" s="4">
        <f>IF(OR(J82="",K82=""),"",ROUND(J82-(J82-K82)*'설정'!$B$2,0))</f>
        <v/>
      </c>
      <c r="M82" s="4">
        <f>IF(OR(A82="",J82=""),"",ROUND(J82*N(IFERROR(INDEX('판매채널'!$F$2:$F$501,MATCH(A82,'판매채널'!$A$2:$A$501,0)),"")),0))</f>
        <v/>
      </c>
      <c r="N82" s="4">
        <f>IF(OR(J82="",K82=""),"",J82-M82-K82)</f>
        <v/>
      </c>
      <c r="O82" s="5">
        <f>IF(OR(J82="",J82=0),"",N82/J82)</f>
        <v/>
      </c>
    </row>
    <row r="83">
      <c r="B83" s="2">
        <f>IF(A83="","",IFERROR(INDEX('판매채널'!$B$2:$B$501,MATCH(A83,'판매채널'!$A$2:$A$501,0)),""))</f>
        <v/>
      </c>
      <c r="D83" s="2">
        <f>IF(C83="","",IFERROR(INDEX('판매구성'!$B$2:$B$501,MATCH(C83,'판매구성'!$A$2:$A$501,0)),""))</f>
        <v/>
      </c>
      <c r="G83" s="3" t="n"/>
      <c r="I83" s="2">
        <f>IF(C83="","",IFERROR(INDEX('판매구성'!$C$2:$C$501,MATCH(C83,'판매구성'!$A$2:$A$501,0)),""))</f>
        <v/>
      </c>
      <c r="J83" s="4">
        <f>IF(OR(C83="",E83=""),"",IFERROR(IF(INDEX('가격표'!$D$2:$K$501,MATCH(C83,'가격표'!$A$2:$A$501,0),MATCH(E83,'가격표'!$D$1:$K$1,0))="","",INDEX('가격표'!$D$2:$K$501,MATCH(C83,'가격표'!$A$2:$A$501,0),MATCH(E83,'가격표'!$D$1:$K$1,0))),""))</f>
        <v/>
      </c>
      <c r="K83" s="4">
        <f>IF(C83="","",IFERROR(INDEX('판매구성'!$D$2:$D$501,MATCH(C83,'판매구성'!$A$2:$A$501,0)),""))</f>
        <v/>
      </c>
      <c r="L83" s="4">
        <f>IF(OR(J83="",K83=""),"",ROUND(J83-(J83-K83)*'설정'!$B$2,0))</f>
        <v/>
      </c>
      <c r="M83" s="4">
        <f>IF(OR(A83="",J83=""),"",ROUND(J83*N(IFERROR(INDEX('판매채널'!$F$2:$F$501,MATCH(A83,'판매채널'!$A$2:$A$501,0)),"")),0))</f>
        <v/>
      </c>
      <c r="N83" s="4">
        <f>IF(OR(J83="",K83=""),"",J83-M83-K83)</f>
        <v/>
      </c>
      <c r="O83" s="5">
        <f>IF(OR(J83="",J83=0),"",N83/J83)</f>
        <v/>
      </c>
    </row>
    <row r="84">
      <c r="B84" s="2">
        <f>IF(A84="","",IFERROR(INDEX('판매채널'!$B$2:$B$501,MATCH(A84,'판매채널'!$A$2:$A$501,0)),""))</f>
        <v/>
      </c>
      <c r="D84" s="2">
        <f>IF(C84="","",IFERROR(INDEX('판매구성'!$B$2:$B$501,MATCH(C84,'판매구성'!$A$2:$A$501,0)),""))</f>
        <v/>
      </c>
      <c r="G84" s="3" t="n"/>
      <c r="I84" s="2">
        <f>IF(C84="","",IFERROR(INDEX('판매구성'!$C$2:$C$501,MATCH(C84,'판매구성'!$A$2:$A$501,0)),""))</f>
        <v/>
      </c>
      <c r="J84" s="4">
        <f>IF(OR(C84="",E84=""),"",IFERROR(IF(INDEX('가격표'!$D$2:$K$501,MATCH(C84,'가격표'!$A$2:$A$501,0),MATCH(E84,'가격표'!$D$1:$K$1,0))="","",INDEX('가격표'!$D$2:$K$501,MATCH(C84,'가격표'!$A$2:$A$501,0),MATCH(E84,'가격표'!$D$1:$K$1,0))),""))</f>
        <v/>
      </c>
      <c r="K84" s="4">
        <f>IF(C84="","",IFERROR(INDEX('판매구성'!$D$2:$D$501,MATCH(C84,'판매구성'!$A$2:$A$501,0)),""))</f>
        <v/>
      </c>
      <c r="L84" s="4">
        <f>IF(OR(J84="",K84=""),"",ROUND(J84-(J84-K84)*'설정'!$B$2,0))</f>
        <v/>
      </c>
      <c r="M84" s="4">
        <f>IF(OR(A84="",J84=""),"",ROUND(J84*N(IFERROR(INDEX('판매채널'!$F$2:$F$501,MATCH(A84,'판매채널'!$A$2:$A$501,0)),"")),0))</f>
        <v/>
      </c>
      <c r="N84" s="4">
        <f>IF(OR(J84="",K84=""),"",J84-M84-K84)</f>
        <v/>
      </c>
      <c r="O84" s="5">
        <f>IF(OR(J84="",J84=0),"",N84/J84)</f>
        <v/>
      </c>
    </row>
    <row r="85">
      <c r="B85" s="2">
        <f>IF(A85="","",IFERROR(INDEX('판매채널'!$B$2:$B$501,MATCH(A85,'판매채널'!$A$2:$A$501,0)),""))</f>
        <v/>
      </c>
      <c r="D85" s="2">
        <f>IF(C85="","",IFERROR(INDEX('판매구성'!$B$2:$B$501,MATCH(C85,'판매구성'!$A$2:$A$501,0)),""))</f>
        <v/>
      </c>
      <c r="G85" s="3" t="n"/>
      <c r="I85" s="2">
        <f>IF(C85="","",IFERROR(INDEX('판매구성'!$C$2:$C$501,MATCH(C85,'판매구성'!$A$2:$A$501,0)),""))</f>
        <v/>
      </c>
      <c r="J85" s="4">
        <f>IF(OR(C85="",E85=""),"",IFERROR(IF(INDEX('가격표'!$D$2:$K$501,MATCH(C85,'가격표'!$A$2:$A$501,0),MATCH(E85,'가격표'!$D$1:$K$1,0))="","",INDEX('가격표'!$D$2:$K$501,MATCH(C85,'가격표'!$A$2:$A$501,0),MATCH(E85,'가격표'!$D$1:$K$1,0))),""))</f>
        <v/>
      </c>
      <c r="K85" s="4">
        <f>IF(C85="","",IFERROR(INDEX('판매구성'!$D$2:$D$501,MATCH(C85,'판매구성'!$A$2:$A$501,0)),""))</f>
        <v/>
      </c>
      <c r="L85" s="4">
        <f>IF(OR(J85="",K85=""),"",ROUND(J85-(J85-K85)*'설정'!$B$2,0))</f>
        <v/>
      </c>
      <c r="M85" s="4">
        <f>IF(OR(A85="",J85=""),"",ROUND(J85*N(IFERROR(INDEX('판매채널'!$F$2:$F$501,MATCH(A85,'판매채널'!$A$2:$A$501,0)),"")),0))</f>
        <v/>
      </c>
      <c r="N85" s="4">
        <f>IF(OR(J85="",K85=""),"",J85-M85-K85)</f>
        <v/>
      </c>
      <c r="O85" s="5">
        <f>IF(OR(J85="",J85=0),"",N85/J85)</f>
        <v/>
      </c>
    </row>
    <row r="86">
      <c r="B86" s="2">
        <f>IF(A86="","",IFERROR(INDEX('판매채널'!$B$2:$B$501,MATCH(A86,'판매채널'!$A$2:$A$501,0)),""))</f>
        <v/>
      </c>
      <c r="D86" s="2">
        <f>IF(C86="","",IFERROR(INDEX('판매구성'!$B$2:$B$501,MATCH(C86,'판매구성'!$A$2:$A$501,0)),""))</f>
        <v/>
      </c>
      <c r="G86" s="3" t="n"/>
      <c r="I86" s="2">
        <f>IF(C86="","",IFERROR(INDEX('판매구성'!$C$2:$C$501,MATCH(C86,'판매구성'!$A$2:$A$501,0)),""))</f>
        <v/>
      </c>
      <c r="J86" s="4">
        <f>IF(OR(C86="",E86=""),"",IFERROR(IF(INDEX('가격표'!$D$2:$K$501,MATCH(C86,'가격표'!$A$2:$A$501,0),MATCH(E86,'가격표'!$D$1:$K$1,0))="","",INDEX('가격표'!$D$2:$K$501,MATCH(C86,'가격표'!$A$2:$A$501,0),MATCH(E86,'가격표'!$D$1:$K$1,0))),""))</f>
        <v/>
      </c>
      <c r="K86" s="4">
        <f>IF(C86="","",IFERROR(INDEX('판매구성'!$D$2:$D$501,MATCH(C86,'판매구성'!$A$2:$A$501,0)),""))</f>
        <v/>
      </c>
      <c r="L86" s="4">
        <f>IF(OR(J86="",K86=""),"",ROUND(J86-(J86-K86)*'설정'!$B$2,0))</f>
        <v/>
      </c>
      <c r="M86" s="4">
        <f>IF(OR(A86="",J86=""),"",ROUND(J86*N(IFERROR(INDEX('판매채널'!$F$2:$F$501,MATCH(A86,'판매채널'!$A$2:$A$501,0)),"")),0))</f>
        <v/>
      </c>
      <c r="N86" s="4">
        <f>IF(OR(J86="",K86=""),"",J86-M86-K86)</f>
        <v/>
      </c>
      <c r="O86" s="5">
        <f>IF(OR(J86="",J86=0),"",N86/J86)</f>
        <v/>
      </c>
    </row>
    <row r="87">
      <c r="B87" s="2">
        <f>IF(A87="","",IFERROR(INDEX('판매채널'!$B$2:$B$501,MATCH(A87,'판매채널'!$A$2:$A$501,0)),""))</f>
        <v/>
      </c>
      <c r="D87" s="2">
        <f>IF(C87="","",IFERROR(INDEX('판매구성'!$B$2:$B$501,MATCH(C87,'판매구성'!$A$2:$A$501,0)),""))</f>
        <v/>
      </c>
      <c r="G87" s="3" t="n"/>
      <c r="I87" s="2">
        <f>IF(C87="","",IFERROR(INDEX('판매구성'!$C$2:$C$501,MATCH(C87,'판매구성'!$A$2:$A$501,0)),""))</f>
        <v/>
      </c>
      <c r="J87" s="4">
        <f>IF(OR(C87="",E87=""),"",IFERROR(IF(INDEX('가격표'!$D$2:$K$501,MATCH(C87,'가격표'!$A$2:$A$501,0),MATCH(E87,'가격표'!$D$1:$K$1,0))="","",INDEX('가격표'!$D$2:$K$501,MATCH(C87,'가격표'!$A$2:$A$501,0),MATCH(E87,'가격표'!$D$1:$K$1,0))),""))</f>
        <v/>
      </c>
      <c r="K87" s="4">
        <f>IF(C87="","",IFERROR(INDEX('판매구성'!$D$2:$D$501,MATCH(C87,'판매구성'!$A$2:$A$501,0)),""))</f>
        <v/>
      </c>
      <c r="L87" s="4">
        <f>IF(OR(J87="",K87=""),"",ROUND(J87-(J87-K87)*'설정'!$B$2,0))</f>
        <v/>
      </c>
      <c r="M87" s="4">
        <f>IF(OR(A87="",J87=""),"",ROUND(J87*N(IFERROR(INDEX('판매채널'!$F$2:$F$501,MATCH(A87,'판매채널'!$A$2:$A$501,0)),"")),0))</f>
        <v/>
      </c>
      <c r="N87" s="4">
        <f>IF(OR(J87="",K87=""),"",J87-M87-K87)</f>
        <v/>
      </c>
      <c r="O87" s="5">
        <f>IF(OR(J87="",J87=0),"",N87/J87)</f>
        <v/>
      </c>
    </row>
    <row r="88">
      <c r="B88" s="2">
        <f>IF(A88="","",IFERROR(INDEX('판매채널'!$B$2:$B$501,MATCH(A88,'판매채널'!$A$2:$A$501,0)),""))</f>
        <v/>
      </c>
      <c r="D88" s="2">
        <f>IF(C88="","",IFERROR(INDEX('판매구성'!$B$2:$B$501,MATCH(C88,'판매구성'!$A$2:$A$501,0)),""))</f>
        <v/>
      </c>
      <c r="G88" s="3" t="n"/>
      <c r="I88" s="2">
        <f>IF(C88="","",IFERROR(INDEX('판매구성'!$C$2:$C$501,MATCH(C88,'판매구성'!$A$2:$A$501,0)),""))</f>
        <v/>
      </c>
      <c r="J88" s="4">
        <f>IF(OR(C88="",E88=""),"",IFERROR(IF(INDEX('가격표'!$D$2:$K$501,MATCH(C88,'가격표'!$A$2:$A$501,0),MATCH(E88,'가격표'!$D$1:$K$1,0))="","",INDEX('가격표'!$D$2:$K$501,MATCH(C88,'가격표'!$A$2:$A$501,0),MATCH(E88,'가격표'!$D$1:$K$1,0))),""))</f>
        <v/>
      </c>
      <c r="K88" s="4">
        <f>IF(C88="","",IFERROR(INDEX('판매구성'!$D$2:$D$501,MATCH(C88,'판매구성'!$A$2:$A$501,0)),""))</f>
        <v/>
      </c>
      <c r="L88" s="4">
        <f>IF(OR(J88="",K88=""),"",ROUND(J88-(J88-K88)*'설정'!$B$2,0))</f>
        <v/>
      </c>
      <c r="M88" s="4">
        <f>IF(OR(A88="",J88=""),"",ROUND(J88*N(IFERROR(INDEX('판매채널'!$F$2:$F$501,MATCH(A88,'판매채널'!$A$2:$A$501,0)),"")),0))</f>
        <v/>
      </c>
      <c r="N88" s="4">
        <f>IF(OR(J88="",K88=""),"",J88-M88-K88)</f>
        <v/>
      </c>
      <c r="O88" s="5">
        <f>IF(OR(J88="",J88=0),"",N88/J88)</f>
        <v/>
      </c>
    </row>
    <row r="89">
      <c r="B89" s="2">
        <f>IF(A89="","",IFERROR(INDEX('판매채널'!$B$2:$B$501,MATCH(A89,'판매채널'!$A$2:$A$501,0)),""))</f>
        <v/>
      </c>
      <c r="D89" s="2">
        <f>IF(C89="","",IFERROR(INDEX('판매구성'!$B$2:$B$501,MATCH(C89,'판매구성'!$A$2:$A$501,0)),""))</f>
        <v/>
      </c>
      <c r="G89" s="3" t="n"/>
      <c r="I89" s="2">
        <f>IF(C89="","",IFERROR(INDEX('판매구성'!$C$2:$C$501,MATCH(C89,'판매구성'!$A$2:$A$501,0)),""))</f>
        <v/>
      </c>
      <c r="J89" s="4">
        <f>IF(OR(C89="",E89=""),"",IFERROR(IF(INDEX('가격표'!$D$2:$K$501,MATCH(C89,'가격표'!$A$2:$A$501,0),MATCH(E89,'가격표'!$D$1:$K$1,0))="","",INDEX('가격표'!$D$2:$K$501,MATCH(C89,'가격표'!$A$2:$A$501,0),MATCH(E89,'가격표'!$D$1:$K$1,0))),""))</f>
        <v/>
      </c>
      <c r="K89" s="4">
        <f>IF(C89="","",IFERROR(INDEX('판매구성'!$D$2:$D$501,MATCH(C89,'판매구성'!$A$2:$A$501,0)),""))</f>
        <v/>
      </c>
      <c r="L89" s="4">
        <f>IF(OR(J89="",K89=""),"",ROUND(J89-(J89-K89)*'설정'!$B$2,0))</f>
        <v/>
      </c>
      <c r="M89" s="4">
        <f>IF(OR(A89="",J89=""),"",ROUND(J89*N(IFERROR(INDEX('판매채널'!$F$2:$F$501,MATCH(A89,'판매채널'!$A$2:$A$501,0)),"")),0))</f>
        <v/>
      </c>
      <c r="N89" s="4">
        <f>IF(OR(J89="",K89=""),"",J89-M89-K89)</f>
        <v/>
      </c>
      <c r="O89" s="5">
        <f>IF(OR(J89="",J89=0),"",N89/J89)</f>
        <v/>
      </c>
    </row>
    <row r="90">
      <c r="B90" s="2">
        <f>IF(A90="","",IFERROR(INDEX('판매채널'!$B$2:$B$501,MATCH(A90,'판매채널'!$A$2:$A$501,0)),""))</f>
        <v/>
      </c>
      <c r="D90" s="2">
        <f>IF(C90="","",IFERROR(INDEX('판매구성'!$B$2:$B$501,MATCH(C90,'판매구성'!$A$2:$A$501,0)),""))</f>
        <v/>
      </c>
      <c r="G90" s="3" t="n"/>
      <c r="I90" s="2">
        <f>IF(C90="","",IFERROR(INDEX('판매구성'!$C$2:$C$501,MATCH(C90,'판매구성'!$A$2:$A$501,0)),""))</f>
        <v/>
      </c>
      <c r="J90" s="4">
        <f>IF(OR(C90="",E90=""),"",IFERROR(IF(INDEX('가격표'!$D$2:$K$501,MATCH(C90,'가격표'!$A$2:$A$501,0),MATCH(E90,'가격표'!$D$1:$K$1,0))="","",INDEX('가격표'!$D$2:$K$501,MATCH(C90,'가격표'!$A$2:$A$501,0),MATCH(E90,'가격표'!$D$1:$K$1,0))),""))</f>
        <v/>
      </c>
      <c r="K90" s="4">
        <f>IF(C90="","",IFERROR(INDEX('판매구성'!$D$2:$D$501,MATCH(C90,'판매구성'!$A$2:$A$501,0)),""))</f>
        <v/>
      </c>
      <c r="L90" s="4">
        <f>IF(OR(J90="",K90=""),"",ROUND(J90-(J90-K90)*'설정'!$B$2,0))</f>
        <v/>
      </c>
      <c r="M90" s="4">
        <f>IF(OR(A90="",J90=""),"",ROUND(J90*N(IFERROR(INDEX('판매채널'!$F$2:$F$501,MATCH(A90,'판매채널'!$A$2:$A$501,0)),"")),0))</f>
        <v/>
      </c>
      <c r="N90" s="4">
        <f>IF(OR(J90="",K90=""),"",J90-M90-K90)</f>
        <v/>
      </c>
      <c r="O90" s="5">
        <f>IF(OR(J90="",J90=0),"",N90/J90)</f>
        <v/>
      </c>
    </row>
    <row r="91">
      <c r="B91" s="2">
        <f>IF(A91="","",IFERROR(INDEX('판매채널'!$B$2:$B$501,MATCH(A91,'판매채널'!$A$2:$A$501,0)),""))</f>
        <v/>
      </c>
      <c r="D91" s="2">
        <f>IF(C91="","",IFERROR(INDEX('판매구성'!$B$2:$B$501,MATCH(C91,'판매구성'!$A$2:$A$501,0)),""))</f>
        <v/>
      </c>
      <c r="G91" s="3" t="n"/>
      <c r="I91" s="2">
        <f>IF(C91="","",IFERROR(INDEX('판매구성'!$C$2:$C$501,MATCH(C91,'판매구성'!$A$2:$A$501,0)),""))</f>
        <v/>
      </c>
      <c r="J91" s="4">
        <f>IF(OR(C91="",E91=""),"",IFERROR(IF(INDEX('가격표'!$D$2:$K$501,MATCH(C91,'가격표'!$A$2:$A$501,0),MATCH(E91,'가격표'!$D$1:$K$1,0))="","",INDEX('가격표'!$D$2:$K$501,MATCH(C91,'가격표'!$A$2:$A$501,0),MATCH(E91,'가격표'!$D$1:$K$1,0))),""))</f>
        <v/>
      </c>
      <c r="K91" s="4">
        <f>IF(C91="","",IFERROR(INDEX('판매구성'!$D$2:$D$501,MATCH(C91,'판매구성'!$A$2:$A$501,0)),""))</f>
        <v/>
      </c>
      <c r="L91" s="4">
        <f>IF(OR(J91="",K91=""),"",ROUND(J91-(J91-K91)*'설정'!$B$2,0))</f>
        <v/>
      </c>
      <c r="M91" s="4">
        <f>IF(OR(A91="",J91=""),"",ROUND(J91*N(IFERROR(INDEX('판매채널'!$F$2:$F$501,MATCH(A91,'판매채널'!$A$2:$A$501,0)),"")),0))</f>
        <v/>
      </c>
      <c r="N91" s="4">
        <f>IF(OR(J91="",K91=""),"",J91-M91-K91)</f>
        <v/>
      </c>
      <c r="O91" s="5">
        <f>IF(OR(J91="",J91=0),"",N91/J91)</f>
        <v/>
      </c>
    </row>
    <row r="92">
      <c r="B92" s="2">
        <f>IF(A92="","",IFERROR(INDEX('판매채널'!$B$2:$B$501,MATCH(A92,'판매채널'!$A$2:$A$501,0)),""))</f>
        <v/>
      </c>
      <c r="D92" s="2">
        <f>IF(C92="","",IFERROR(INDEX('판매구성'!$B$2:$B$501,MATCH(C92,'판매구성'!$A$2:$A$501,0)),""))</f>
        <v/>
      </c>
      <c r="G92" s="3" t="n"/>
      <c r="I92" s="2">
        <f>IF(C92="","",IFERROR(INDEX('판매구성'!$C$2:$C$501,MATCH(C92,'판매구성'!$A$2:$A$501,0)),""))</f>
        <v/>
      </c>
      <c r="J92" s="4">
        <f>IF(OR(C92="",E92=""),"",IFERROR(IF(INDEX('가격표'!$D$2:$K$501,MATCH(C92,'가격표'!$A$2:$A$501,0),MATCH(E92,'가격표'!$D$1:$K$1,0))="","",INDEX('가격표'!$D$2:$K$501,MATCH(C92,'가격표'!$A$2:$A$501,0),MATCH(E92,'가격표'!$D$1:$K$1,0))),""))</f>
        <v/>
      </c>
      <c r="K92" s="4">
        <f>IF(C92="","",IFERROR(INDEX('판매구성'!$D$2:$D$501,MATCH(C92,'판매구성'!$A$2:$A$501,0)),""))</f>
        <v/>
      </c>
      <c r="L92" s="4">
        <f>IF(OR(J92="",K92=""),"",ROUND(J92-(J92-K92)*'설정'!$B$2,0))</f>
        <v/>
      </c>
      <c r="M92" s="4">
        <f>IF(OR(A92="",J92=""),"",ROUND(J92*N(IFERROR(INDEX('판매채널'!$F$2:$F$501,MATCH(A92,'판매채널'!$A$2:$A$501,0)),"")),0))</f>
        <v/>
      </c>
      <c r="N92" s="4">
        <f>IF(OR(J92="",K92=""),"",J92-M92-K92)</f>
        <v/>
      </c>
      <c r="O92" s="5">
        <f>IF(OR(J92="",J92=0),"",N92/J92)</f>
        <v/>
      </c>
    </row>
    <row r="93">
      <c r="B93" s="2">
        <f>IF(A93="","",IFERROR(INDEX('판매채널'!$B$2:$B$501,MATCH(A93,'판매채널'!$A$2:$A$501,0)),""))</f>
        <v/>
      </c>
      <c r="D93" s="2">
        <f>IF(C93="","",IFERROR(INDEX('판매구성'!$B$2:$B$501,MATCH(C93,'판매구성'!$A$2:$A$501,0)),""))</f>
        <v/>
      </c>
      <c r="G93" s="3" t="n"/>
      <c r="I93" s="2">
        <f>IF(C93="","",IFERROR(INDEX('판매구성'!$C$2:$C$501,MATCH(C93,'판매구성'!$A$2:$A$501,0)),""))</f>
        <v/>
      </c>
      <c r="J93" s="4">
        <f>IF(OR(C93="",E93=""),"",IFERROR(IF(INDEX('가격표'!$D$2:$K$501,MATCH(C93,'가격표'!$A$2:$A$501,0),MATCH(E93,'가격표'!$D$1:$K$1,0))="","",INDEX('가격표'!$D$2:$K$501,MATCH(C93,'가격표'!$A$2:$A$501,0),MATCH(E93,'가격표'!$D$1:$K$1,0))),""))</f>
        <v/>
      </c>
      <c r="K93" s="4">
        <f>IF(C93="","",IFERROR(INDEX('판매구성'!$D$2:$D$501,MATCH(C93,'판매구성'!$A$2:$A$501,0)),""))</f>
        <v/>
      </c>
      <c r="L93" s="4">
        <f>IF(OR(J93="",K93=""),"",ROUND(J93-(J93-K93)*'설정'!$B$2,0))</f>
        <v/>
      </c>
      <c r="M93" s="4">
        <f>IF(OR(A93="",J93=""),"",ROUND(J93*N(IFERROR(INDEX('판매채널'!$F$2:$F$501,MATCH(A93,'판매채널'!$A$2:$A$501,0)),"")),0))</f>
        <v/>
      </c>
      <c r="N93" s="4">
        <f>IF(OR(J93="",K93=""),"",J93-M93-K93)</f>
        <v/>
      </c>
      <c r="O93" s="5">
        <f>IF(OR(J93="",J93=0),"",N93/J93)</f>
        <v/>
      </c>
    </row>
    <row r="94">
      <c r="B94" s="2">
        <f>IF(A94="","",IFERROR(INDEX('판매채널'!$B$2:$B$501,MATCH(A94,'판매채널'!$A$2:$A$501,0)),""))</f>
        <v/>
      </c>
      <c r="D94" s="2">
        <f>IF(C94="","",IFERROR(INDEX('판매구성'!$B$2:$B$501,MATCH(C94,'판매구성'!$A$2:$A$501,0)),""))</f>
        <v/>
      </c>
      <c r="G94" s="3" t="n"/>
      <c r="I94" s="2">
        <f>IF(C94="","",IFERROR(INDEX('판매구성'!$C$2:$C$501,MATCH(C94,'판매구성'!$A$2:$A$501,0)),""))</f>
        <v/>
      </c>
      <c r="J94" s="4">
        <f>IF(OR(C94="",E94=""),"",IFERROR(IF(INDEX('가격표'!$D$2:$K$501,MATCH(C94,'가격표'!$A$2:$A$501,0),MATCH(E94,'가격표'!$D$1:$K$1,0))="","",INDEX('가격표'!$D$2:$K$501,MATCH(C94,'가격표'!$A$2:$A$501,0),MATCH(E94,'가격표'!$D$1:$K$1,0))),""))</f>
        <v/>
      </c>
      <c r="K94" s="4">
        <f>IF(C94="","",IFERROR(INDEX('판매구성'!$D$2:$D$501,MATCH(C94,'판매구성'!$A$2:$A$501,0)),""))</f>
        <v/>
      </c>
      <c r="L94" s="4">
        <f>IF(OR(J94="",K94=""),"",ROUND(J94-(J94-K94)*'설정'!$B$2,0))</f>
        <v/>
      </c>
      <c r="M94" s="4">
        <f>IF(OR(A94="",J94=""),"",ROUND(J94*N(IFERROR(INDEX('판매채널'!$F$2:$F$501,MATCH(A94,'판매채널'!$A$2:$A$501,0)),"")),0))</f>
        <v/>
      </c>
      <c r="N94" s="4">
        <f>IF(OR(J94="",K94=""),"",J94-M94-K94)</f>
        <v/>
      </c>
      <c r="O94" s="5">
        <f>IF(OR(J94="",J94=0),"",N94/J94)</f>
        <v/>
      </c>
    </row>
    <row r="95">
      <c r="B95" s="2">
        <f>IF(A95="","",IFERROR(INDEX('판매채널'!$B$2:$B$501,MATCH(A95,'판매채널'!$A$2:$A$501,0)),""))</f>
        <v/>
      </c>
      <c r="D95" s="2">
        <f>IF(C95="","",IFERROR(INDEX('판매구성'!$B$2:$B$501,MATCH(C95,'판매구성'!$A$2:$A$501,0)),""))</f>
        <v/>
      </c>
      <c r="G95" s="3" t="n"/>
      <c r="I95" s="2">
        <f>IF(C95="","",IFERROR(INDEX('판매구성'!$C$2:$C$501,MATCH(C95,'판매구성'!$A$2:$A$501,0)),""))</f>
        <v/>
      </c>
      <c r="J95" s="4">
        <f>IF(OR(C95="",E95=""),"",IFERROR(IF(INDEX('가격표'!$D$2:$K$501,MATCH(C95,'가격표'!$A$2:$A$501,0),MATCH(E95,'가격표'!$D$1:$K$1,0))="","",INDEX('가격표'!$D$2:$K$501,MATCH(C95,'가격표'!$A$2:$A$501,0),MATCH(E95,'가격표'!$D$1:$K$1,0))),""))</f>
        <v/>
      </c>
      <c r="K95" s="4">
        <f>IF(C95="","",IFERROR(INDEX('판매구성'!$D$2:$D$501,MATCH(C95,'판매구성'!$A$2:$A$501,0)),""))</f>
        <v/>
      </c>
      <c r="L95" s="4">
        <f>IF(OR(J95="",K95=""),"",ROUND(J95-(J95-K95)*'설정'!$B$2,0))</f>
        <v/>
      </c>
      <c r="M95" s="4">
        <f>IF(OR(A95="",J95=""),"",ROUND(J95*N(IFERROR(INDEX('판매채널'!$F$2:$F$501,MATCH(A95,'판매채널'!$A$2:$A$501,0)),"")),0))</f>
        <v/>
      </c>
      <c r="N95" s="4">
        <f>IF(OR(J95="",K95=""),"",J95-M95-K95)</f>
        <v/>
      </c>
      <c r="O95" s="5">
        <f>IF(OR(J95="",J95=0),"",N95/J95)</f>
        <v/>
      </c>
    </row>
    <row r="96">
      <c r="B96" s="2">
        <f>IF(A96="","",IFERROR(INDEX('판매채널'!$B$2:$B$501,MATCH(A96,'판매채널'!$A$2:$A$501,0)),""))</f>
        <v/>
      </c>
      <c r="D96" s="2">
        <f>IF(C96="","",IFERROR(INDEX('판매구성'!$B$2:$B$501,MATCH(C96,'판매구성'!$A$2:$A$501,0)),""))</f>
        <v/>
      </c>
      <c r="G96" s="3" t="n"/>
      <c r="I96" s="2">
        <f>IF(C96="","",IFERROR(INDEX('판매구성'!$C$2:$C$501,MATCH(C96,'판매구성'!$A$2:$A$501,0)),""))</f>
        <v/>
      </c>
      <c r="J96" s="4">
        <f>IF(OR(C96="",E96=""),"",IFERROR(IF(INDEX('가격표'!$D$2:$K$501,MATCH(C96,'가격표'!$A$2:$A$501,0),MATCH(E96,'가격표'!$D$1:$K$1,0))="","",INDEX('가격표'!$D$2:$K$501,MATCH(C96,'가격표'!$A$2:$A$501,0),MATCH(E96,'가격표'!$D$1:$K$1,0))),""))</f>
        <v/>
      </c>
      <c r="K96" s="4">
        <f>IF(C96="","",IFERROR(INDEX('판매구성'!$D$2:$D$501,MATCH(C96,'판매구성'!$A$2:$A$501,0)),""))</f>
        <v/>
      </c>
      <c r="L96" s="4">
        <f>IF(OR(J96="",K96=""),"",ROUND(J96-(J96-K96)*'설정'!$B$2,0))</f>
        <v/>
      </c>
      <c r="M96" s="4">
        <f>IF(OR(A96="",J96=""),"",ROUND(J96*N(IFERROR(INDEX('판매채널'!$F$2:$F$501,MATCH(A96,'판매채널'!$A$2:$A$501,0)),"")),0))</f>
        <v/>
      </c>
      <c r="N96" s="4">
        <f>IF(OR(J96="",K96=""),"",J96-M96-K96)</f>
        <v/>
      </c>
      <c r="O96" s="5">
        <f>IF(OR(J96="",J96=0),"",N96/J96)</f>
        <v/>
      </c>
    </row>
    <row r="97">
      <c r="B97" s="2">
        <f>IF(A97="","",IFERROR(INDEX('판매채널'!$B$2:$B$501,MATCH(A97,'판매채널'!$A$2:$A$501,0)),""))</f>
        <v/>
      </c>
      <c r="D97" s="2">
        <f>IF(C97="","",IFERROR(INDEX('판매구성'!$B$2:$B$501,MATCH(C97,'판매구성'!$A$2:$A$501,0)),""))</f>
        <v/>
      </c>
      <c r="G97" s="3" t="n"/>
      <c r="I97" s="2">
        <f>IF(C97="","",IFERROR(INDEX('판매구성'!$C$2:$C$501,MATCH(C97,'판매구성'!$A$2:$A$501,0)),""))</f>
        <v/>
      </c>
      <c r="J97" s="4">
        <f>IF(OR(C97="",E97=""),"",IFERROR(IF(INDEX('가격표'!$D$2:$K$501,MATCH(C97,'가격표'!$A$2:$A$501,0),MATCH(E97,'가격표'!$D$1:$K$1,0))="","",INDEX('가격표'!$D$2:$K$501,MATCH(C97,'가격표'!$A$2:$A$501,0),MATCH(E97,'가격표'!$D$1:$K$1,0))),""))</f>
        <v/>
      </c>
      <c r="K97" s="4">
        <f>IF(C97="","",IFERROR(INDEX('판매구성'!$D$2:$D$501,MATCH(C97,'판매구성'!$A$2:$A$501,0)),""))</f>
        <v/>
      </c>
      <c r="L97" s="4">
        <f>IF(OR(J97="",K97=""),"",ROUND(J97-(J97-K97)*'설정'!$B$2,0))</f>
        <v/>
      </c>
      <c r="M97" s="4">
        <f>IF(OR(A97="",J97=""),"",ROUND(J97*N(IFERROR(INDEX('판매채널'!$F$2:$F$501,MATCH(A97,'판매채널'!$A$2:$A$501,0)),"")),0))</f>
        <v/>
      </c>
      <c r="N97" s="4">
        <f>IF(OR(J97="",K97=""),"",J97-M97-K97)</f>
        <v/>
      </c>
      <c r="O97" s="5">
        <f>IF(OR(J97="",J97=0),"",N97/J97)</f>
        <v/>
      </c>
    </row>
    <row r="98">
      <c r="B98" s="2">
        <f>IF(A98="","",IFERROR(INDEX('판매채널'!$B$2:$B$501,MATCH(A98,'판매채널'!$A$2:$A$501,0)),""))</f>
        <v/>
      </c>
      <c r="D98" s="2">
        <f>IF(C98="","",IFERROR(INDEX('판매구성'!$B$2:$B$501,MATCH(C98,'판매구성'!$A$2:$A$501,0)),""))</f>
        <v/>
      </c>
      <c r="G98" s="3" t="n"/>
      <c r="I98" s="2">
        <f>IF(C98="","",IFERROR(INDEX('판매구성'!$C$2:$C$501,MATCH(C98,'판매구성'!$A$2:$A$501,0)),""))</f>
        <v/>
      </c>
      <c r="J98" s="4">
        <f>IF(OR(C98="",E98=""),"",IFERROR(IF(INDEX('가격표'!$D$2:$K$501,MATCH(C98,'가격표'!$A$2:$A$501,0),MATCH(E98,'가격표'!$D$1:$K$1,0))="","",INDEX('가격표'!$D$2:$K$501,MATCH(C98,'가격표'!$A$2:$A$501,0),MATCH(E98,'가격표'!$D$1:$K$1,0))),""))</f>
        <v/>
      </c>
      <c r="K98" s="4">
        <f>IF(C98="","",IFERROR(INDEX('판매구성'!$D$2:$D$501,MATCH(C98,'판매구성'!$A$2:$A$501,0)),""))</f>
        <v/>
      </c>
      <c r="L98" s="4">
        <f>IF(OR(J98="",K98=""),"",ROUND(J98-(J98-K98)*'설정'!$B$2,0))</f>
        <v/>
      </c>
      <c r="M98" s="4">
        <f>IF(OR(A98="",J98=""),"",ROUND(J98*N(IFERROR(INDEX('판매채널'!$F$2:$F$501,MATCH(A98,'판매채널'!$A$2:$A$501,0)),"")),0))</f>
        <v/>
      </c>
      <c r="N98" s="4">
        <f>IF(OR(J98="",K98=""),"",J98-M98-K98)</f>
        <v/>
      </c>
      <c r="O98" s="5">
        <f>IF(OR(J98="",J98=0),"",N98/J98)</f>
        <v/>
      </c>
    </row>
    <row r="99">
      <c r="B99" s="2">
        <f>IF(A99="","",IFERROR(INDEX('판매채널'!$B$2:$B$501,MATCH(A99,'판매채널'!$A$2:$A$501,0)),""))</f>
        <v/>
      </c>
      <c r="D99" s="2">
        <f>IF(C99="","",IFERROR(INDEX('판매구성'!$B$2:$B$501,MATCH(C99,'판매구성'!$A$2:$A$501,0)),""))</f>
        <v/>
      </c>
      <c r="G99" s="3" t="n"/>
      <c r="I99" s="2">
        <f>IF(C99="","",IFERROR(INDEX('판매구성'!$C$2:$C$501,MATCH(C99,'판매구성'!$A$2:$A$501,0)),""))</f>
        <v/>
      </c>
      <c r="J99" s="4">
        <f>IF(OR(C99="",E99=""),"",IFERROR(IF(INDEX('가격표'!$D$2:$K$501,MATCH(C99,'가격표'!$A$2:$A$501,0),MATCH(E99,'가격표'!$D$1:$K$1,0))="","",INDEX('가격표'!$D$2:$K$501,MATCH(C99,'가격표'!$A$2:$A$501,0),MATCH(E99,'가격표'!$D$1:$K$1,0))),""))</f>
        <v/>
      </c>
      <c r="K99" s="4">
        <f>IF(C99="","",IFERROR(INDEX('판매구성'!$D$2:$D$501,MATCH(C99,'판매구성'!$A$2:$A$501,0)),""))</f>
        <v/>
      </c>
      <c r="L99" s="4">
        <f>IF(OR(J99="",K99=""),"",ROUND(J99-(J99-K99)*'설정'!$B$2,0))</f>
        <v/>
      </c>
      <c r="M99" s="4">
        <f>IF(OR(A99="",J99=""),"",ROUND(J99*N(IFERROR(INDEX('판매채널'!$F$2:$F$501,MATCH(A99,'판매채널'!$A$2:$A$501,0)),"")),0))</f>
        <v/>
      </c>
      <c r="N99" s="4">
        <f>IF(OR(J99="",K99=""),"",J99-M99-K99)</f>
        <v/>
      </c>
      <c r="O99" s="5">
        <f>IF(OR(J99="",J99=0),"",N99/J99)</f>
        <v/>
      </c>
    </row>
    <row r="100">
      <c r="B100" s="2">
        <f>IF(A100="","",IFERROR(INDEX('판매채널'!$B$2:$B$501,MATCH(A100,'판매채널'!$A$2:$A$501,0)),""))</f>
        <v/>
      </c>
      <c r="D100" s="2">
        <f>IF(C100="","",IFERROR(INDEX('판매구성'!$B$2:$B$501,MATCH(C100,'판매구성'!$A$2:$A$501,0)),""))</f>
        <v/>
      </c>
      <c r="G100" s="3" t="n"/>
      <c r="I100" s="2">
        <f>IF(C100="","",IFERROR(INDEX('판매구성'!$C$2:$C$501,MATCH(C100,'판매구성'!$A$2:$A$501,0)),""))</f>
        <v/>
      </c>
      <c r="J100" s="4">
        <f>IF(OR(C100="",E100=""),"",IFERROR(IF(INDEX('가격표'!$D$2:$K$501,MATCH(C100,'가격표'!$A$2:$A$501,0),MATCH(E100,'가격표'!$D$1:$K$1,0))="","",INDEX('가격표'!$D$2:$K$501,MATCH(C100,'가격표'!$A$2:$A$501,0),MATCH(E100,'가격표'!$D$1:$K$1,0))),""))</f>
        <v/>
      </c>
      <c r="K100" s="4">
        <f>IF(C100="","",IFERROR(INDEX('판매구성'!$D$2:$D$501,MATCH(C100,'판매구성'!$A$2:$A$501,0)),""))</f>
        <v/>
      </c>
      <c r="L100" s="4">
        <f>IF(OR(J100="",K100=""),"",ROUND(J100-(J100-K100)*'설정'!$B$2,0))</f>
        <v/>
      </c>
      <c r="M100" s="4">
        <f>IF(OR(A100="",J100=""),"",ROUND(J100*N(IFERROR(INDEX('판매채널'!$F$2:$F$501,MATCH(A100,'판매채널'!$A$2:$A$501,0)),"")),0))</f>
        <v/>
      </c>
      <c r="N100" s="4">
        <f>IF(OR(J100="",K100=""),"",J100-M100-K100)</f>
        <v/>
      </c>
      <c r="O100" s="5">
        <f>IF(OR(J100="",J100=0),"",N100/J100)</f>
        <v/>
      </c>
    </row>
    <row r="101">
      <c r="B101" s="2">
        <f>IF(A101="","",IFERROR(INDEX('판매채널'!$B$2:$B$501,MATCH(A101,'판매채널'!$A$2:$A$501,0)),""))</f>
        <v/>
      </c>
      <c r="D101" s="2">
        <f>IF(C101="","",IFERROR(INDEX('판매구성'!$B$2:$B$501,MATCH(C101,'판매구성'!$A$2:$A$501,0)),""))</f>
        <v/>
      </c>
      <c r="G101" s="3" t="n"/>
      <c r="I101" s="2">
        <f>IF(C101="","",IFERROR(INDEX('판매구성'!$C$2:$C$501,MATCH(C101,'판매구성'!$A$2:$A$501,0)),""))</f>
        <v/>
      </c>
      <c r="J101" s="4">
        <f>IF(OR(C101="",E101=""),"",IFERROR(IF(INDEX('가격표'!$D$2:$K$501,MATCH(C101,'가격표'!$A$2:$A$501,0),MATCH(E101,'가격표'!$D$1:$K$1,0))="","",INDEX('가격표'!$D$2:$K$501,MATCH(C101,'가격표'!$A$2:$A$501,0),MATCH(E101,'가격표'!$D$1:$K$1,0))),""))</f>
        <v/>
      </c>
      <c r="K101" s="4">
        <f>IF(C101="","",IFERROR(INDEX('판매구성'!$D$2:$D$501,MATCH(C101,'판매구성'!$A$2:$A$501,0)),""))</f>
        <v/>
      </c>
      <c r="L101" s="4">
        <f>IF(OR(J101="",K101=""),"",ROUND(J101-(J101-K101)*'설정'!$B$2,0))</f>
        <v/>
      </c>
      <c r="M101" s="4">
        <f>IF(OR(A101="",J101=""),"",ROUND(J101*N(IFERROR(INDEX('판매채널'!$F$2:$F$501,MATCH(A101,'판매채널'!$A$2:$A$501,0)),"")),0))</f>
        <v/>
      </c>
      <c r="N101" s="4">
        <f>IF(OR(J101="",K101=""),"",J101-M101-K101)</f>
        <v/>
      </c>
      <c r="O101" s="5">
        <f>IF(OR(J101="",J101=0),"",N101/J101)</f>
        <v/>
      </c>
    </row>
    <row r="102">
      <c r="B102" s="2">
        <f>IF(A102="","",IFERROR(INDEX('판매채널'!$B$2:$B$501,MATCH(A102,'판매채널'!$A$2:$A$501,0)),""))</f>
        <v/>
      </c>
      <c r="D102" s="2">
        <f>IF(C102="","",IFERROR(INDEX('판매구성'!$B$2:$B$501,MATCH(C102,'판매구성'!$A$2:$A$501,0)),""))</f>
        <v/>
      </c>
      <c r="G102" s="3" t="n"/>
      <c r="I102" s="2">
        <f>IF(C102="","",IFERROR(INDEX('판매구성'!$C$2:$C$501,MATCH(C102,'판매구성'!$A$2:$A$501,0)),""))</f>
        <v/>
      </c>
      <c r="J102" s="4">
        <f>IF(OR(C102="",E102=""),"",IFERROR(IF(INDEX('가격표'!$D$2:$K$501,MATCH(C102,'가격표'!$A$2:$A$501,0),MATCH(E102,'가격표'!$D$1:$K$1,0))="","",INDEX('가격표'!$D$2:$K$501,MATCH(C102,'가격표'!$A$2:$A$501,0),MATCH(E102,'가격표'!$D$1:$K$1,0))),""))</f>
        <v/>
      </c>
      <c r="K102" s="4">
        <f>IF(C102="","",IFERROR(INDEX('판매구성'!$D$2:$D$501,MATCH(C102,'판매구성'!$A$2:$A$501,0)),""))</f>
        <v/>
      </c>
      <c r="L102" s="4">
        <f>IF(OR(J102="",K102=""),"",ROUND(J102-(J102-K102)*'설정'!$B$2,0))</f>
        <v/>
      </c>
      <c r="M102" s="4">
        <f>IF(OR(A102="",J102=""),"",ROUND(J102*N(IFERROR(INDEX('판매채널'!$F$2:$F$501,MATCH(A102,'판매채널'!$A$2:$A$501,0)),"")),0))</f>
        <v/>
      </c>
      <c r="N102" s="4">
        <f>IF(OR(J102="",K102=""),"",J102-M102-K102)</f>
        <v/>
      </c>
      <c r="O102" s="5">
        <f>IF(OR(J102="",J102=0),"",N102/J102)</f>
        <v/>
      </c>
    </row>
    <row r="103">
      <c r="B103" s="2">
        <f>IF(A103="","",IFERROR(INDEX('판매채널'!$B$2:$B$501,MATCH(A103,'판매채널'!$A$2:$A$501,0)),""))</f>
        <v/>
      </c>
      <c r="D103" s="2">
        <f>IF(C103="","",IFERROR(INDEX('판매구성'!$B$2:$B$501,MATCH(C103,'판매구성'!$A$2:$A$501,0)),""))</f>
        <v/>
      </c>
      <c r="G103" s="3" t="n"/>
      <c r="I103" s="2">
        <f>IF(C103="","",IFERROR(INDEX('판매구성'!$C$2:$C$501,MATCH(C103,'판매구성'!$A$2:$A$501,0)),""))</f>
        <v/>
      </c>
      <c r="J103" s="4">
        <f>IF(OR(C103="",E103=""),"",IFERROR(IF(INDEX('가격표'!$D$2:$K$501,MATCH(C103,'가격표'!$A$2:$A$501,0),MATCH(E103,'가격표'!$D$1:$K$1,0))="","",INDEX('가격표'!$D$2:$K$501,MATCH(C103,'가격표'!$A$2:$A$501,0),MATCH(E103,'가격표'!$D$1:$K$1,0))),""))</f>
        <v/>
      </c>
      <c r="K103" s="4">
        <f>IF(C103="","",IFERROR(INDEX('판매구성'!$D$2:$D$501,MATCH(C103,'판매구성'!$A$2:$A$501,0)),""))</f>
        <v/>
      </c>
      <c r="L103" s="4">
        <f>IF(OR(J103="",K103=""),"",ROUND(J103-(J103-K103)*'설정'!$B$2,0))</f>
        <v/>
      </c>
      <c r="M103" s="4">
        <f>IF(OR(A103="",J103=""),"",ROUND(J103*N(IFERROR(INDEX('판매채널'!$F$2:$F$501,MATCH(A103,'판매채널'!$A$2:$A$501,0)),"")),0))</f>
        <v/>
      </c>
      <c r="N103" s="4">
        <f>IF(OR(J103="",K103=""),"",J103-M103-K103)</f>
        <v/>
      </c>
      <c r="O103" s="5">
        <f>IF(OR(J103="",J103=0),"",N103/J103)</f>
        <v/>
      </c>
    </row>
    <row r="104">
      <c r="B104" s="2">
        <f>IF(A104="","",IFERROR(INDEX('판매채널'!$B$2:$B$501,MATCH(A104,'판매채널'!$A$2:$A$501,0)),""))</f>
        <v/>
      </c>
      <c r="D104" s="2">
        <f>IF(C104="","",IFERROR(INDEX('판매구성'!$B$2:$B$501,MATCH(C104,'판매구성'!$A$2:$A$501,0)),""))</f>
        <v/>
      </c>
      <c r="G104" s="3" t="n"/>
      <c r="I104" s="2">
        <f>IF(C104="","",IFERROR(INDEX('판매구성'!$C$2:$C$501,MATCH(C104,'판매구성'!$A$2:$A$501,0)),""))</f>
        <v/>
      </c>
      <c r="J104" s="4">
        <f>IF(OR(C104="",E104=""),"",IFERROR(IF(INDEX('가격표'!$D$2:$K$501,MATCH(C104,'가격표'!$A$2:$A$501,0),MATCH(E104,'가격표'!$D$1:$K$1,0))="","",INDEX('가격표'!$D$2:$K$501,MATCH(C104,'가격표'!$A$2:$A$501,0),MATCH(E104,'가격표'!$D$1:$K$1,0))),""))</f>
        <v/>
      </c>
      <c r="K104" s="4">
        <f>IF(C104="","",IFERROR(INDEX('판매구성'!$D$2:$D$501,MATCH(C104,'판매구성'!$A$2:$A$501,0)),""))</f>
        <v/>
      </c>
      <c r="L104" s="4">
        <f>IF(OR(J104="",K104=""),"",ROUND(J104-(J104-K104)*'설정'!$B$2,0))</f>
        <v/>
      </c>
      <c r="M104" s="4">
        <f>IF(OR(A104="",J104=""),"",ROUND(J104*N(IFERROR(INDEX('판매채널'!$F$2:$F$501,MATCH(A104,'판매채널'!$A$2:$A$501,0)),"")),0))</f>
        <v/>
      </c>
      <c r="N104" s="4">
        <f>IF(OR(J104="",K104=""),"",J104-M104-K104)</f>
        <v/>
      </c>
      <c r="O104" s="5">
        <f>IF(OR(J104="",J104=0),"",N104/J104)</f>
        <v/>
      </c>
    </row>
    <row r="105">
      <c r="B105" s="2">
        <f>IF(A105="","",IFERROR(INDEX('판매채널'!$B$2:$B$501,MATCH(A105,'판매채널'!$A$2:$A$501,0)),""))</f>
        <v/>
      </c>
      <c r="D105" s="2">
        <f>IF(C105="","",IFERROR(INDEX('판매구성'!$B$2:$B$501,MATCH(C105,'판매구성'!$A$2:$A$501,0)),""))</f>
        <v/>
      </c>
      <c r="G105" s="3" t="n"/>
      <c r="I105" s="2">
        <f>IF(C105="","",IFERROR(INDEX('판매구성'!$C$2:$C$501,MATCH(C105,'판매구성'!$A$2:$A$501,0)),""))</f>
        <v/>
      </c>
      <c r="J105" s="4">
        <f>IF(OR(C105="",E105=""),"",IFERROR(IF(INDEX('가격표'!$D$2:$K$501,MATCH(C105,'가격표'!$A$2:$A$501,0),MATCH(E105,'가격표'!$D$1:$K$1,0))="","",INDEX('가격표'!$D$2:$K$501,MATCH(C105,'가격표'!$A$2:$A$501,0),MATCH(E105,'가격표'!$D$1:$K$1,0))),""))</f>
        <v/>
      </c>
      <c r="K105" s="4">
        <f>IF(C105="","",IFERROR(INDEX('판매구성'!$D$2:$D$501,MATCH(C105,'판매구성'!$A$2:$A$501,0)),""))</f>
        <v/>
      </c>
      <c r="L105" s="4">
        <f>IF(OR(J105="",K105=""),"",ROUND(J105-(J105-K105)*'설정'!$B$2,0))</f>
        <v/>
      </c>
      <c r="M105" s="4">
        <f>IF(OR(A105="",J105=""),"",ROUND(J105*N(IFERROR(INDEX('판매채널'!$F$2:$F$501,MATCH(A105,'판매채널'!$A$2:$A$501,0)),"")),0))</f>
        <v/>
      </c>
      <c r="N105" s="4">
        <f>IF(OR(J105="",K105=""),"",J105-M105-K105)</f>
        <v/>
      </c>
      <c r="O105" s="5">
        <f>IF(OR(J105="",J105=0),"",N105/J105)</f>
        <v/>
      </c>
    </row>
    <row r="106">
      <c r="B106" s="2">
        <f>IF(A106="","",IFERROR(INDEX('판매채널'!$B$2:$B$501,MATCH(A106,'판매채널'!$A$2:$A$501,0)),""))</f>
        <v/>
      </c>
      <c r="D106" s="2">
        <f>IF(C106="","",IFERROR(INDEX('판매구성'!$B$2:$B$501,MATCH(C106,'판매구성'!$A$2:$A$501,0)),""))</f>
        <v/>
      </c>
      <c r="G106" s="3" t="n"/>
      <c r="I106" s="2">
        <f>IF(C106="","",IFERROR(INDEX('판매구성'!$C$2:$C$501,MATCH(C106,'판매구성'!$A$2:$A$501,0)),""))</f>
        <v/>
      </c>
      <c r="J106" s="4">
        <f>IF(OR(C106="",E106=""),"",IFERROR(IF(INDEX('가격표'!$D$2:$K$501,MATCH(C106,'가격표'!$A$2:$A$501,0),MATCH(E106,'가격표'!$D$1:$K$1,0))="","",INDEX('가격표'!$D$2:$K$501,MATCH(C106,'가격표'!$A$2:$A$501,0),MATCH(E106,'가격표'!$D$1:$K$1,0))),""))</f>
        <v/>
      </c>
      <c r="K106" s="4">
        <f>IF(C106="","",IFERROR(INDEX('판매구성'!$D$2:$D$501,MATCH(C106,'판매구성'!$A$2:$A$501,0)),""))</f>
        <v/>
      </c>
      <c r="L106" s="4">
        <f>IF(OR(J106="",K106=""),"",ROUND(J106-(J106-K106)*'설정'!$B$2,0))</f>
        <v/>
      </c>
      <c r="M106" s="4">
        <f>IF(OR(A106="",J106=""),"",ROUND(J106*N(IFERROR(INDEX('판매채널'!$F$2:$F$501,MATCH(A106,'판매채널'!$A$2:$A$501,0)),"")),0))</f>
        <v/>
      </c>
      <c r="N106" s="4">
        <f>IF(OR(J106="",K106=""),"",J106-M106-K106)</f>
        <v/>
      </c>
      <c r="O106" s="5">
        <f>IF(OR(J106="",J106=0),"",N106/J106)</f>
        <v/>
      </c>
    </row>
    <row r="107">
      <c r="B107" s="2">
        <f>IF(A107="","",IFERROR(INDEX('판매채널'!$B$2:$B$501,MATCH(A107,'판매채널'!$A$2:$A$501,0)),""))</f>
        <v/>
      </c>
      <c r="D107" s="2">
        <f>IF(C107="","",IFERROR(INDEX('판매구성'!$B$2:$B$501,MATCH(C107,'판매구성'!$A$2:$A$501,0)),""))</f>
        <v/>
      </c>
      <c r="G107" s="3" t="n"/>
      <c r="I107" s="2">
        <f>IF(C107="","",IFERROR(INDEX('판매구성'!$C$2:$C$501,MATCH(C107,'판매구성'!$A$2:$A$501,0)),""))</f>
        <v/>
      </c>
      <c r="J107" s="4">
        <f>IF(OR(C107="",E107=""),"",IFERROR(IF(INDEX('가격표'!$D$2:$K$501,MATCH(C107,'가격표'!$A$2:$A$501,0),MATCH(E107,'가격표'!$D$1:$K$1,0))="","",INDEX('가격표'!$D$2:$K$501,MATCH(C107,'가격표'!$A$2:$A$501,0),MATCH(E107,'가격표'!$D$1:$K$1,0))),""))</f>
        <v/>
      </c>
      <c r="K107" s="4">
        <f>IF(C107="","",IFERROR(INDEX('판매구성'!$D$2:$D$501,MATCH(C107,'판매구성'!$A$2:$A$501,0)),""))</f>
        <v/>
      </c>
      <c r="L107" s="4">
        <f>IF(OR(J107="",K107=""),"",ROUND(J107-(J107-K107)*'설정'!$B$2,0))</f>
        <v/>
      </c>
      <c r="M107" s="4">
        <f>IF(OR(A107="",J107=""),"",ROUND(J107*N(IFERROR(INDEX('판매채널'!$F$2:$F$501,MATCH(A107,'판매채널'!$A$2:$A$501,0)),"")),0))</f>
        <v/>
      </c>
      <c r="N107" s="4">
        <f>IF(OR(J107="",K107=""),"",J107-M107-K107)</f>
        <v/>
      </c>
      <c r="O107" s="5">
        <f>IF(OR(J107="",J107=0),"",N107/J107)</f>
        <v/>
      </c>
    </row>
    <row r="108">
      <c r="B108" s="2">
        <f>IF(A108="","",IFERROR(INDEX('판매채널'!$B$2:$B$501,MATCH(A108,'판매채널'!$A$2:$A$501,0)),""))</f>
        <v/>
      </c>
      <c r="D108" s="2">
        <f>IF(C108="","",IFERROR(INDEX('판매구성'!$B$2:$B$501,MATCH(C108,'판매구성'!$A$2:$A$501,0)),""))</f>
        <v/>
      </c>
      <c r="G108" s="3" t="n"/>
      <c r="I108" s="2">
        <f>IF(C108="","",IFERROR(INDEX('판매구성'!$C$2:$C$501,MATCH(C108,'판매구성'!$A$2:$A$501,0)),""))</f>
        <v/>
      </c>
      <c r="J108" s="4">
        <f>IF(OR(C108="",E108=""),"",IFERROR(IF(INDEX('가격표'!$D$2:$K$501,MATCH(C108,'가격표'!$A$2:$A$501,0),MATCH(E108,'가격표'!$D$1:$K$1,0))="","",INDEX('가격표'!$D$2:$K$501,MATCH(C108,'가격표'!$A$2:$A$501,0),MATCH(E108,'가격표'!$D$1:$K$1,0))),""))</f>
        <v/>
      </c>
      <c r="K108" s="4">
        <f>IF(C108="","",IFERROR(INDEX('판매구성'!$D$2:$D$501,MATCH(C108,'판매구성'!$A$2:$A$501,0)),""))</f>
        <v/>
      </c>
      <c r="L108" s="4">
        <f>IF(OR(J108="",K108=""),"",ROUND(J108-(J108-K108)*'설정'!$B$2,0))</f>
        <v/>
      </c>
      <c r="M108" s="4">
        <f>IF(OR(A108="",J108=""),"",ROUND(J108*N(IFERROR(INDEX('판매채널'!$F$2:$F$501,MATCH(A108,'판매채널'!$A$2:$A$501,0)),"")),0))</f>
        <v/>
      </c>
      <c r="N108" s="4">
        <f>IF(OR(J108="",K108=""),"",J108-M108-K108)</f>
        <v/>
      </c>
      <c r="O108" s="5">
        <f>IF(OR(J108="",J108=0),"",N108/J108)</f>
        <v/>
      </c>
    </row>
    <row r="109">
      <c r="B109" s="2">
        <f>IF(A109="","",IFERROR(INDEX('판매채널'!$B$2:$B$501,MATCH(A109,'판매채널'!$A$2:$A$501,0)),""))</f>
        <v/>
      </c>
      <c r="D109" s="2">
        <f>IF(C109="","",IFERROR(INDEX('판매구성'!$B$2:$B$501,MATCH(C109,'판매구성'!$A$2:$A$501,0)),""))</f>
        <v/>
      </c>
      <c r="G109" s="3" t="n"/>
      <c r="I109" s="2">
        <f>IF(C109="","",IFERROR(INDEX('판매구성'!$C$2:$C$501,MATCH(C109,'판매구성'!$A$2:$A$501,0)),""))</f>
        <v/>
      </c>
      <c r="J109" s="4">
        <f>IF(OR(C109="",E109=""),"",IFERROR(IF(INDEX('가격표'!$D$2:$K$501,MATCH(C109,'가격표'!$A$2:$A$501,0),MATCH(E109,'가격표'!$D$1:$K$1,0))="","",INDEX('가격표'!$D$2:$K$501,MATCH(C109,'가격표'!$A$2:$A$501,0),MATCH(E109,'가격표'!$D$1:$K$1,0))),""))</f>
        <v/>
      </c>
      <c r="K109" s="4">
        <f>IF(C109="","",IFERROR(INDEX('판매구성'!$D$2:$D$501,MATCH(C109,'판매구성'!$A$2:$A$501,0)),""))</f>
        <v/>
      </c>
      <c r="L109" s="4">
        <f>IF(OR(J109="",K109=""),"",ROUND(J109-(J109-K109)*'설정'!$B$2,0))</f>
        <v/>
      </c>
      <c r="M109" s="4">
        <f>IF(OR(A109="",J109=""),"",ROUND(J109*N(IFERROR(INDEX('판매채널'!$F$2:$F$501,MATCH(A109,'판매채널'!$A$2:$A$501,0)),"")),0))</f>
        <v/>
      </c>
      <c r="N109" s="4">
        <f>IF(OR(J109="",K109=""),"",J109-M109-K109)</f>
        <v/>
      </c>
      <c r="O109" s="5">
        <f>IF(OR(J109="",J109=0),"",N109/J109)</f>
        <v/>
      </c>
    </row>
    <row r="110">
      <c r="B110" s="2">
        <f>IF(A110="","",IFERROR(INDEX('판매채널'!$B$2:$B$501,MATCH(A110,'판매채널'!$A$2:$A$501,0)),""))</f>
        <v/>
      </c>
      <c r="D110" s="2">
        <f>IF(C110="","",IFERROR(INDEX('판매구성'!$B$2:$B$501,MATCH(C110,'판매구성'!$A$2:$A$501,0)),""))</f>
        <v/>
      </c>
      <c r="G110" s="3" t="n"/>
      <c r="I110" s="2">
        <f>IF(C110="","",IFERROR(INDEX('판매구성'!$C$2:$C$501,MATCH(C110,'판매구성'!$A$2:$A$501,0)),""))</f>
        <v/>
      </c>
      <c r="J110" s="4">
        <f>IF(OR(C110="",E110=""),"",IFERROR(IF(INDEX('가격표'!$D$2:$K$501,MATCH(C110,'가격표'!$A$2:$A$501,0),MATCH(E110,'가격표'!$D$1:$K$1,0))="","",INDEX('가격표'!$D$2:$K$501,MATCH(C110,'가격표'!$A$2:$A$501,0),MATCH(E110,'가격표'!$D$1:$K$1,0))),""))</f>
        <v/>
      </c>
      <c r="K110" s="4">
        <f>IF(C110="","",IFERROR(INDEX('판매구성'!$D$2:$D$501,MATCH(C110,'판매구성'!$A$2:$A$501,0)),""))</f>
        <v/>
      </c>
      <c r="L110" s="4">
        <f>IF(OR(J110="",K110=""),"",ROUND(J110-(J110-K110)*'설정'!$B$2,0))</f>
        <v/>
      </c>
      <c r="M110" s="4">
        <f>IF(OR(A110="",J110=""),"",ROUND(J110*N(IFERROR(INDEX('판매채널'!$F$2:$F$501,MATCH(A110,'판매채널'!$A$2:$A$501,0)),"")),0))</f>
        <v/>
      </c>
      <c r="N110" s="4">
        <f>IF(OR(J110="",K110=""),"",J110-M110-K110)</f>
        <v/>
      </c>
      <c r="O110" s="5">
        <f>IF(OR(J110="",J110=0),"",N110/J110)</f>
        <v/>
      </c>
    </row>
    <row r="111">
      <c r="B111" s="2">
        <f>IF(A111="","",IFERROR(INDEX('판매채널'!$B$2:$B$501,MATCH(A111,'판매채널'!$A$2:$A$501,0)),""))</f>
        <v/>
      </c>
      <c r="D111" s="2">
        <f>IF(C111="","",IFERROR(INDEX('판매구성'!$B$2:$B$501,MATCH(C111,'판매구성'!$A$2:$A$501,0)),""))</f>
        <v/>
      </c>
      <c r="G111" s="3" t="n"/>
      <c r="I111" s="2">
        <f>IF(C111="","",IFERROR(INDEX('판매구성'!$C$2:$C$501,MATCH(C111,'판매구성'!$A$2:$A$501,0)),""))</f>
        <v/>
      </c>
      <c r="J111" s="4">
        <f>IF(OR(C111="",E111=""),"",IFERROR(IF(INDEX('가격표'!$D$2:$K$501,MATCH(C111,'가격표'!$A$2:$A$501,0),MATCH(E111,'가격표'!$D$1:$K$1,0))="","",INDEX('가격표'!$D$2:$K$501,MATCH(C111,'가격표'!$A$2:$A$501,0),MATCH(E111,'가격표'!$D$1:$K$1,0))),""))</f>
        <v/>
      </c>
      <c r="K111" s="4">
        <f>IF(C111="","",IFERROR(INDEX('판매구성'!$D$2:$D$501,MATCH(C111,'판매구성'!$A$2:$A$501,0)),""))</f>
        <v/>
      </c>
      <c r="L111" s="4">
        <f>IF(OR(J111="",K111=""),"",ROUND(J111-(J111-K111)*'설정'!$B$2,0))</f>
        <v/>
      </c>
      <c r="M111" s="4">
        <f>IF(OR(A111="",J111=""),"",ROUND(J111*N(IFERROR(INDEX('판매채널'!$F$2:$F$501,MATCH(A111,'판매채널'!$A$2:$A$501,0)),"")),0))</f>
        <v/>
      </c>
      <c r="N111" s="4">
        <f>IF(OR(J111="",K111=""),"",J111-M111-K111)</f>
        <v/>
      </c>
      <c r="O111" s="5">
        <f>IF(OR(J111="",J111=0),"",N111/J111)</f>
        <v/>
      </c>
    </row>
    <row r="112">
      <c r="B112" s="2">
        <f>IF(A112="","",IFERROR(INDEX('판매채널'!$B$2:$B$501,MATCH(A112,'판매채널'!$A$2:$A$501,0)),""))</f>
        <v/>
      </c>
      <c r="D112" s="2">
        <f>IF(C112="","",IFERROR(INDEX('판매구성'!$B$2:$B$501,MATCH(C112,'판매구성'!$A$2:$A$501,0)),""))</f>
        <v/>
      </c>
      <c r="G112" s="3" t="n"/>
      <c r="I112" s="2">
        <f>IF(C112="","",IFERROR(INDEX('판매구성'!$C$2:$C$501,MATCH(C112,'판매구성'!$A$2:$A$501,0)),""))</f>
        <v/>
      </c>
      <c r="J112" s="4">
        <f>IF(OR(C112="",E112=""),"",IFERROR(IF(INDEX('가격표'!$D$2:$K$501,MATCH(C112,'가격표'!$A$2:$A$501,0),MATCH(E112,'가격표'!$D$1:$K$1,0))="","",INDEX('가격표'!$D$2:$K$501,MATCH(C112,'가격표'!$A$2:$A$501,0),MATCH(E112,'가격표'!$D$1:$K$1,0))),""))</f>
        <v/>
      </c>
      <c r="K112" s="4">
        <f>IF(C112="","",IFERROR(INDEX('판매구성'!$D$2:$D$501,MATCH(C112,'판매구성'!$A$2:$A$501,0)),""))</f>
        <v/>
      </c>
      <c r="L112" s="4">
        <f>IF(OR(J112="",K112=""),"",ROUND(J112-(J112-K112)*'설정'!$B$2,0))</f>
        <v/>
      </c>
      <c r="M112" s="4">
        <f>IF(OR(A112="",J112=""),"",ROUND(J112*N(IFERROR(INDEX('판매채널'!$F$2:$F$501,MATCH(A112,'판매채널'!$A$2:$A$501,0)),"")),0))</f>
        <v/>
      </c>
      <c r="N112" s="4">
        <f>IF(OR(J112="",K112=""),"",J112-M112-K112)</f>
        <v/>
      </c>
      <c r="O112" s="5">
        <f>IF(OR(J112="",J112=0),"",N112/J112)</f>
        <v/>
      </c>
    </row>
    <row r="113">
      <c r="B113" s="2">
        <f>IF(A113="","",IFERROR(INDEX('판매채널'!$B$2:$B$501,MATCH(A113,'판매채널'!$A$2:$A$501,0)),""))</f>
        <v/>
      </c>
      <c r="D113" s="2">
        <f>IF(C113="","",IFERROR(INDEX('판매구성'!$B$2:$B$501,MATCH(C113,'판매구성'!$A$2:$A$501,0)),""))</f>
        <v/>
      </c>
      <c r="G113" s="3" t="n"/>
      <c r="I113" s="2">
        <f>IF(C113="","",IFERROR(INDEX('판매구성'!$C$2:$C$501,MATCH(C113,'판매구성'!$A$2:$A$501,0)),""))</f>
        <v/>
      </c>
      <c r="J113" s="4">
        <f>IF(OR(C113="",E113=""),"",IFERROR(IF(INDEX('가격표'!$D$2:$K$501,MATCH(C113,'가격표'!$A$2:$A$501,0),MATCH(E113,'가격표'!$D$1:$K$1,0))="","",INDEX('가격표'!$D$2:$K$501,MATCH(C113,'가격표'!$A$2:$A$501,0),MATCH(E113,'가격표'!$D$1:$K$1,0))),""))</f>
        <v/>
      </c>
      <c r="K113" s="4">
        <f>IF(C113="","",IFERROR(INDEX('판매구성'!$D$2:$D$501,MATCH(C113,'판매구성'!$A$2:$A$501,0)),""))</f>
        <v/>
      </c>
      <c r="L113" s="4">
        <f>IF(OR(J113="",K113=""),"",ROUND(J113-(J113-K113)*'설정'!$B$2,0))</f>
        <v/>
      </c>
      <c r="M113" s="4">
        <f>IF(OR(A113="",J113=""),"",ROUND(J113*N(IFERROR(INDEX('판매채널'!$F$2:$F$501,MATCH(A113,'판매채널'!$A$2:$A$501,0)),"")),0))</f>
        <v/>
      </c>
      <c r="N113" s="4">
        <f>IF(OR(J113="",K113=""),"",J113-M113-K113)</f>
        <v/>
      </c>
      <c r="O113" s="5">
        <f>IF(OR(J113="",J113=0),"",N113/J113)</f>
        <v/>
      </c>
    </row>
    <row r="114">
      <c r="B114" s="2">
        <f>IF(A114="","",IFERROR(INDEX('판매채널'!$B$2:$B$501,MATCH(A114,'판매채널'!$A$2:$A$501,0)),""))</f>
        <v/>
      </c>
      <c r="D114" s="2">
        <f>IF(C114="","",IFERROR(INDEX('판매구성'!$B$2:$B$501,MATCH(C114,'판매구성'!$A$2:$A$501,0)),""))</f>
        <v/>
      </c>
      <c r="G114" s="3" t="n"/>
      <c r="I114" s="2">
        <f>IF(C114="","",IFERROR(INDEX('판매구성'!$C$2:$C$501,MATCH(C114,'판매구성'!$A$2:$A$501,0)),""))</f>
        <v/>
      </c>
      <c r="J114" s="4">
        <f>IF(OR(C114="",E114=""),"",IFERROR(IF(INDEX('가격표'!$D$2:$K$501,MATCH(C114,'가격표'!$A$2:$A$501,0),MATCH(E114,'가격표'!$D$1:$K$1,0))="","",INDEX('가격표'!$D$2:$K$501,MATCH(C114,'가격표'!$A$2:$A$501,0),MATCH(E114,'가격표'!$D$1:$K$1,0))),""))</f>
        <v/>
      </c>
      <c r="K114" s="4">
        <f>IF(C114="","",IFERROR(INDEX('판매구성'!$D$2:$D$501,MATCH(C114,'판매구성'!$A$2:$A$501,0)),""))</f>
        <v/>
      </c>
      <c r="L114" s="4">
        <f>IF(OR(J114="",K114=""),"",ROUND(J114-(J114-K114)*'설정'!$B$2,0))</f>
        <v/>
      </c>
      <c r="M114" s="4">
        <f>IF(OR(A114="",J114=""),"",ROUND(J114*N(IFERROR(INDEX('판매채널'!$F$2:$F$501,MATCH(A114,'판매채널'!$A$2:$A$501,0)),"")),0))</f>
        <v/>
      </c>
      <c r="N114" s="4">
        <f>IF(OR(J114="",K114=""),"",J114-M114-K114)</f>
        <v/>
      </c>
      <c r="O114" s="5">
        <f>IF(OR(J114="",J114=0),"",N114/J114)</f>
        <v/>
      </c>
    </row>
    <row r="115">
      <c r="B115" s="2">
        <f>IF(A115="","",IFERROR(INDEX('판매채널'!$B$2:$B$501,MATCH(A115,'판매채널'!$A$2:$A$501,0)),""))</f>
        <v/>
      </c>
      <c r="D115" s="2">
        <f>IF(C115="","",IFERROR(INDEX('판매구성'!$B$2:$B$501,MATCH(C115,'판매구성'!$A$2:$A$501,0)),""))</f>
        <v/>
      </c>
      <c r="G115" s="3" t="n"/>
      <c r="I115" s="2">
        <f>IF(C115="","",IFERROR(INDEX('판매구성'!$C$2:$C$501,MATCH(C115,'판매구성'!$A$2:$A$501,0)),""))</f>
        <v/>
      </c>
      <c r="J115" s="4">
        <f>IF(OR(C115="",E115=""),"",IFERROR(IF(INDEX('가격표'!$D$2:$K$501,MATCH(C115,'가격표'!$A$2:$A$501,0),MATCH(E115,'가격표'!$D$1:$K$1,0))="","",INDEX('가격표'!$D$2:$K$501,MATCH(C115,'가격표'!$A$2:$A$501,0),MATCH(E115,'가격표'!$D$1:$K$1,0))),""))</f>
        <v/>
      </c>
      <c r="K115" s="4">
        <f>IF(C115="","",IFERROR(INDEX('판매구성'!$D$2:$D$501,MATCH(C115,'판매구성'!$A$2:$A$501,0)),""))</f>
        <v/>
      </c>
      <c r="L115" s="4">
        <f>IF(OR(J115="",K115=""),"",ROUND(J115-(J115-K115)*'설정'!$B$2,0))</f>
        <v/>
      </c>
      <c r="M115" s="4">
        <f>IF(OR(A115="",J115=""),"",ROUND(J115*N(IFERROR(INDEX('판매채널'!$F$2:$F$501,MATCH(A115,'판매채널'!$A$2:$A$501,0)),"")),0))</f>
        <v/>
      </c>
      <c r="N115" s="4">
        <f>IF(OR(J115="",K115=""),"",J115-M115-K115)</f>
        <v/>
      </c>
      <c r="O115" s="5">
        <f>IF(OR(J115="",J115=0),"",N115/J115)</f>
        <v/>
      </c>
    </row>
    <row r="116">
      <c r="B116" s="2">
        <f>IF(A116="","",IFERROR(INDEX('판매채널'!$B$2:$B$501,MATCH(A116,'판매채널'!$A$2:$A$501,0)),""))</f>
        <v/>
      </c>
      <c r="D116" s="2">
        <f>IF(C116="","",IFERROR(INDEX('판매구성'!$B$2:$B$501,MATCH(C116,'판매구성'!$A$2:$A$501,0)),""))</f>
        <v/>
      </c>
      <c r="G116" s="3" t="n"/>
      <c r="I116" s="2">
        <f>IF(C116="","",IFERROR(INDEX('판매구성'!$C$2:$C$501,MATCH(C116,'판매구성'!$A$2:$A$501,0)),""))</f>
        <v/>
      </c>
      <c r="J116" s="4">
        <f>IF(OR(C116="",E116=""),"",IFERROR(IF(INDEX('가격표'!$D$2:$K$501,MATCH(C116,'가격표'!$A$2:$A$501,0),MATCH(E116,'가격표'!$D$1:$K$1,0))="","",INDEX('가격표'!$D$2:$K$501,MATCH(C116,'가격표'!$A$2:$A$501,0),MATCH(E116,'가격표'!$D$1:$K$1,0))),""))</f>
        <v/>
      </c>
      <c r="K116" s="4">
        <f>IF(C116="","",IFERROR(INDEX('판매구성'!$D$2:$D$501,MATCH(C116,'판매구성'!$A$2:$A$501,0)),""))</f>
        <v/>
      </c>
      <c r="L116" s="4">
        <f>IF(OR(J116="",K116=""),"",ROUND(J116-(J116-K116)*'설정'!$B$2,0))</f>
        <v/>
      </c>
      <c r="M116" s="4">
        <f>IF(OR(A116="",J116=""),"",ROUND(J116*N(IFERROR(INDEX('판매채널'!$F$2:$F$501,MATCH(A116,'판매채널'!$A$2:$A$501,0)),"")),0))</f>
        <v/>
      </c>
      <c r="N116" s="4">
        <f>IF(OR(J116="",K116=""),"",J116-M116-K116)</f>
        <v/>
      </c>
      <c r="O116" s="5">
        <f>IF(OR(J116="",J116=0),"",N116/J116)</f>
        <v/>
      </c>
    </row>
    <row r="117">
      <c r="B117" s="2">
        <f>IF(A117="","",IFERROR(INDEX('판매채널'!$B$2:$B$501,MATCH(A117,'판매채널'!$A$2:$A$501,0)),""))</f>
        <v/>
      </c>
      <c r="D117" s="2">
        <f>IF(C117="","",IFERROR(INDEX('판매구성'!$B$2:$B$501,MATCH(C117,'판매구성'!$A$2:$A$501,0)),""))</f>
        <v/>
      </c>
      <c r="G117" s="3" t="n"/>
      <c r="I117" s="2">
        <f>IF(C117="","",IFERROR(INDEX('판매구성'!$C$2:$C$501,MATCH(C117,'판매구성'!$A$2:$A$501,0)),""))</f>
        <v/>
      </c>
      <c r="J117" s="4">
        <f>IF(OR(C117="",E117=""),"",IFERROR(IF(INDEX('가격표'!$D$2:$K$501,MATCH(C117,'가격표'!$A$2:$A$501,0),MATCH(E117,'가격표'!$D$1:$K$1,0))="","",INDEX('가격표'!$D$2:$K$501,MATCH(C117,'가격표'!$A$2:$A$501,0),MATCH(E117,'가격표'!$D$1:$K$1,0))),""))</f>
        <v/>
      </c>
      <c r="K117" s="4">
        <f>IF(C117="","",IFERROR(INDEX('판매구성'!$D$2:$D$501,MATCH(C117,'판매구성'!$A$2:$A$501,0)),""))</f>
        <v/>
      </c>
      <c r="L117" s="4">
        <f>IF(OR(J117="",K117=""),"",ROUND(J117-(J117-K117)*'설정'!$B$2,0))</f>
        <v/>
      </c>
      <c r="M117" s="4">
        <f>IF(OR(A117="",J117=""),"",ROUND(J117*N(IFERROR(INDEX('판매채널'!$F$2:$F$501,MATCH(A117,'판매채널'!$A$2:$A$501,0)),"")),0))</f>
        <v/>
      </c>
      <c r="N117" s="4">
        <f>IF(OR(J117="",K117=""),"",J117-M117-K117)</f>
        <v/>
      </c>
      <c r="O117" s="5">
        <f>IF(OR(J117="",J117=0),"",N117/J117)</f>
        <v/>
      </c>
    </row>
    <row r="118">
      <c r="B118" s="2">
        <f>IF(A118="","",IFERROR(INDEX('판매채널'!$B$2:$B$501,MATCH(A118,'판매채널'!$A$2:$A$501,0)),""))</f>
        <v/>
      </c>
      <c r="D118" s="2">
        <f>IF(C118="","",IFERROR(INDEX('판매구성'!$B$2:$B$501,MATCH(C118,'판매구성'!$A$2:$A$501,0)),""))</f>
        <v/>
      </c>
      <c r="G118" s="3" t="n"/>
      <c r="I118" s="2">
        <f>IF(C118="","",IFERROR(INDEX('판매구성'!$C$2:$C$501,MATCH(C118,'판매구성'!$A$2:$A$501,0)),""))</f>
        <v/>
      </c>
      <c r="J118" s="4">
        <f>IF(OR(C118="",E118=""),"",IFERROR(IF(INDEX('가격표'!$D$2:$K$501,MATCH(C118,'가격표'!$A$2:$A$501,0),MATCH(E118,'가격표'!$D$1:$K$1,0))="","",INDEX('가격표'!$D$2:$K$501,MATCH(C118,'가격표'!$A$2:$A$501,0),MATCH(E118,'가격표'!$D$1:$K$1,0))),""))</f>
        <v/>
      </c>
      <c r="K118" s="4">
        <f>IF(C118="","",IFERROR(INDEX('판매구성'!$D$2:$D$501,MATCH(C118,'판매구성'!$A$2:$A$501,0)),""))</f>
        <v/>
      </c>
      <c r="L118" s="4">
        <f>IF(OR(J118="",K118=""),"",ROUND(J118-(J118-K118)*'설정'!$B$2,0))</f>
        <v/>
      </c>
      <c r="M118" s="4">
        <f>IF(OR(A118="",J118=""),"",ROUND(J118*N(IFERROR(INDEX('판매채널'!$F$2:$F$501,MATCH(A118,'판매채널'!$A$2:$A$501,0)),"")),0))</f>
        <v/>
      </c>
      <c r="N118" s="4">
        <f>IF(OR(J118="",K118=""),"",J118-M118-K118)</f>
        <v/>
      </c>
      <c r="O118" s="5">
        <f>IF(OR(J118="",J118=0),"",N118/J118)</f>
        <v/>
      </c>
    </row>
    <row r="119">
      <c r="B119" s="2">
        <f>IF(A119="","",IFERROR(INDEX('판매채널'!$B$2:$B$501,MATCH(A119,'판매채널'!$A$2:$A$501,0)),""))</f>
        <v/>
      </c>
      <c r="D119" s="2">
        <f>IF(C119="","",IFERROR(INDEX('판매구성'!$B$2:$B$501,MATCH(C119,'판매구성'!$A$2:$A$501,0)),""))</f>
        <v/>
      </c>
      <c r="G119" s="3" t="n"/>
      <c r="I119" s="2">
        <f>IF(C119="","",IFERROR(INDEX('판매구성'!$C$2:$C$501,MATCH(C119,'판매구성'!$A$2:$A$501,0)),""))</f>
        <v/>
      </c>
      <c r="J119" s="4">
        <f>IF(OR(C119="",E119=""),"",IFERROR(IF(INDEX('가격표'!$D$2:$K$501,MATCH(C119,'가격표'!$A$2:$A$501,0),MATCH(E119,'가격표'!$D$1:$K$1,0))="","",INDEX('가격표'!$D$2:$K$501,MATCH(C119,'가격표'!$A$2:$A$501,0),MATCH(E119,'가격표'!$D$1:$K$1,0))),""))</f>
        <v/>
      </c>
      <c r="K119" s="4">
        <f>IF(C119="","",IFERROR(INDEX('판매구성'!$D$2:$D$501,MATCH(C119,'판매구성'!$A$2:$A$501,0)),""))</f>
        <v/>
      </c>
      <c r="L119" s="4">
        <f>IF(OR(J119="",K119=""),"",ROUND(J119-(J119-K119)*'설정'!$B$2,0))</f>
        <v/>
      </c>
      <c r="M119" s="4">
        <f>IF(OR(A119="",J119=""),"",ROUND(J119*N(IFERROR(INDEX('판매채널'!$F$2:$F$501,MATCH(A119,'판매채널'!$A$2:$A$501,0)),"")),0))</f>
        <v/>
      </c>
      <c r="N119" s="4">
        <f>IF(OR(J119="",K119=""),"",J119-M119-K119)</f>
        <v/>
      </c>
      <c r="O119" s="5">
        <f>IF(OR(J119="",J119=0),"",N119/J119)</f>
        <v/>
      </c>
    </row>
    <row r="120">
      <c r="B120" s="2">
        <f>IF(A120="","",IFERROR(INDEX('판매채널'!$B$2:$B$501,MATCH(A120,'판매채널'!$A$2:$A$501,0)),""))</f>
        <v/>
      </c>
      <c r="D120" s="2">
        <f>IF(C120="","",IFERROR(INDEX('판매구성'!$B$2:$B$501,MATCH(C120,'판매구성'!$A$2:$A$501,0)),""))</f>
        <v/>
      </c>
      <c r="G120" s="3" t="n"/>
      <c r="I120" s="2">
        <f>IF(C120="","",IFERROR(INDEX('판매구성'!$C$2:$C$501,MATCH(C120,'판매구성'!$A$2:$A$501,0)),""))</f>
        <v/>
      </c>
      <c r="J120" s="4">
        <f>IF(OR(C120="",E120=""),"",IFERROR(IF(INDEX('가격표'!$D$2:$K$501,MATCH(C120,'가격표'!$A$2:$A$501,0),MATCH(E120,'가격표'!$D$1:$K$1,0))="","",INDEX('가격표'!$D$2:$K$501,MATCH(C120,'가격표'!$A$2:$A$501,0),MATCH(E120,'가격표'!$D$1:$K$1,0))),""))</f>
        <v/>
      </c>
      <c r="K120" s="4">
        <f>IF(C120="","",IFERROR(INDEX('판매구성'!$D$2:$D$501,MATCH(C120,'판매구성'!$A$2:$A$501,0)),""))</f>
        <v/>
      </c>
      <c r="L120" s="4">
        <f>IF(OR(J120="",K120=""),"",ROUND(J120-(J120-K120)*'설정'!$B$2,0))</f>
        <v/>
      </c>
      <c r="M120" s="4">
        <f>IF(OR(A120="",J120=""),"",ROUND(J120*N(IFERROR(INDEX('판매채널'!$F$2:$F$501,MATCH(A120,'판매채널'!$A$2:$A$501,0)),"")),0))</f>
        <v/>
      </c>
      <c r="N120" s="4">
        <f>IF(OR(J120="",K120=""),"",J120-M120-K120)</f>
        <v/>
      </c>
      <c r="O120" s="5">
        <f>IF(OR(J120="",J120=0),"",N120/J120)</f>
        <v/>
      </c>
    </row>
    <row r="121">
      <c r="B121" s="2">
        <f>IF(A121="","",IFERROR(INDEX('판매채널'!$B$2:$B$501,MATCH(A121,'판매채널'!$A$2:$A$501,0)),""))</f>
        <v/>
      </c>
      <c r="D121" s="2">
        <f>IF(C121="","",IFERROR(INDEX('판매구성'!$B$2:$B$501,MATCH(C121,'판매구성'!$A$2:$A$501,0)),""))</f>
        <v/>
      </c>
      <c r="G121" s="3" t="n"/>
      <c r="I121" s="2">
        <f>IF(C121="","",IFERROR(INDEX('판매구성'!$C$2:$C$501,MATCH(C121,'판매구성'!$A$2:$A$501,0)),""))</f>
        <v/>
      </c>
      <c r="J121" s="4">
        <f>IF(OR(C121="",E121=""),"",IFERROR(IF(INDEX('가격표'!$D$2:$K$501,MATCH(C121,'가격표'!$A$2:$A$501,0),MATCH(E121,'가격표'!$D$1:$K$1,0))="","",INDEX('가격표'!$D$2:$K$501,MATCH(C121,'가격표'!$A$2:$A$501,0),MATCH(E121,'가격표'!$D$1:$K$1,0))),""))</f>
        <v/>
      </c>
      <c r="K121" s="4">
        <f>IF(C121="","",IFERROR(INDEX('판매구성'!$D$2:$D$501,MATCH(C121,'판매구성'!$A$2:$A$501,0)),""))</f>
        <v/>
      </c>
      <c r="L121" s="4">
        <f>IF(OR(J121="",K121=""),"",ROUND(J121-(J121-K121)*'설정'!$B$2,0))</f>
        <v/>
      </c>
      <c r="M121" s="4">
        <f>IF(OR(A121="",J121=""),"",ROUND(J121*N(IFERROR(INDEX('판매채널'!$F$2:$F$501,MATCH(A121,'판매채널'!$A$2:$A$501,0)),"")),0))</f>
        <v/>
      </c>
      <c r="N121" s="4">
        <f>IF(OR(J121="",K121=""),"",J121-M121-K121)</f>
        <v/>
      </c>
      <c r="O121" s="5">
        <f>IF(OR(J121="",J121=0),"",N121/J121)</f>
        <v/>
      </c>
    </row>
    <row r="122">
      <c r="B122" s="2">
        <f>IF(A122="","",IFERROR(INDEX('판매채널'!$B$2:$B$501,MATCH(A122,'판매채널'!$A$2:$A$501,0)),""))</f>
        <v/>
      </c>
      <c r="D122" s="2">
        <f>IF(C122="","",IFERROR(INDEX('판매구성'!$B$2:$B$501,MATCH(C122,'판매구성'!$A$2:$A$501,0)),""))</f>
        <v/>
      </c>
      <c r="G122" s="3" t="n"/>
      <c r="I122" s="2">
        <f>IF(C122="","",IFERROR(INDEX('판매구성'!$C$2:$C$501,MATCH(C122,'판매구성'!$A$2:$A$501,0)),""))</f>
        <v/>
      </c>
      <c r="J122" s="4">
        <f>IF(OR(C122="",E122=""),"",IFERROR(IF(INDEX('가격표'!$D$2:$K$501,MATCH(C122,'가격표'!$A$2:$A$501,0),MATCH(E122,'가격표'!$D$1:$K$1,0))="","",INDEX('가격표'!$D$2:$K$501,MATCH(C122,'가격표'!$A$2:$A$501,0),MATCH(E122,'가격표'!$D$1:$K$1,0))),""))</f>
        <v/>
      </c>
      <c r="K122" s="4">
        <f>IF(C122="","",IFERROR(INDEX('판매구성'!$D$2:$D$501,MATCH(C122,'판매구성'!$A$2:$A$501,0)),""))</f>
        <v/>
      </c>
      <c r="L122" s="4">
        <f>IF(OR(J122="",K122=""),"",ROUND(J122-(J122-K122)*'설정'!$B$2,0))</f>
        <v/>
      </c>
      <c r="M122" s="4">
        <f>IF(OR(A122="",J122=""),"",ROUND(J122*N(IFERROR(INDEX('판매채널'!$F$2:$F$501,MATCH(A122,'판매채널'!$A$2:$A$501,0)),"")),0))</f>
        <v/>
      </c>
      <c r="N122" s="4">
        <f>IF(OR(J122="",K122=""),"",J122-M122-K122)</f>
        <v/>
      </c>
      <c r="O122" s="5">
        <f>IF(OR(J122="",J122=0),"",N122/J122)</f>
        <v/>
      </c>
    </row>
    <row r="123">
      <c r="B123" s="2">
        <f>IF(A123="","",IFERROR(INDEX('판매채널'!$B$2:$B$501,MATCH(A123,'판매채널'!$A$2:$A$501,0)),""))</f>
        <v/>
      </c>
      <c r="D123" s="2">
        <f>IF(C123="","",IFERROR(INDEX('판매구성'!$B$2:$B$501,MATCH(C123,'판매구성'!$A$2:$A$501,0)),""))</f>
        <v/>
      </c>
      <c r="G123" s="3" t="n"/>
      <c r="I123" s="2">
        <f>IF(C123="","",IFERROR(INDEX('판매구성'!$C$2:$C$501,MATCH(C123,'판매구성'!$A$2:$A$501,0)),""))</f>
        <v/>
      </c>
      <c r="J123" s="4">
        <f>IF(OR(C123="",E123=""),"",IFERROR(IF(INDEX('가격표'!$D$2:$K$501,MATCH(C123,'가격표'!$A$2:$A$501,0),MATCH(E123,'가격표'!$D$1:$K$1,0))="","",INDEX('가격표'!$D$2:$K$501,MATCH(C123,'가격표'!$A$2:$A$501,0),MATCH(E123,'가격표'!$D$1:$K$1,0))),""))</f>
        <v/>
      </c>
      <c r="K123" s="4">
        <f>IF(C123="","",IFERROR(INDEX('판매구성'!$D$2:$D$501,MATCH(C123,'판매구성'!$A$2:$A$501,0)),""))</f>
        <v/>
      </c>
      <c r="L123" s="4">
        <f>IF(OR(J123="",K123=""),"",ROUND(J123-(J123-K123)*'설정'!$B$2,0))</f>
        <v/>
      </c>
      <c r="M123" s="4">
        <f>IF(OR(A123="",J123=""),"",ROUND(J123*N(IFERROR(INDEX('판매채널'!$F$2:$F$501,MATCH(A123,'판매채널'!$A$2:$A$501,0)),"")),0))</f>
        <v/>
      </c>
      <c r="N123" s="4">
        <f>IF(OR(J123="",K123=""),"",J123-M123-K123)</f>
        <v/>
      </c>
      <c r="O123" s="5">
        <f>IF(OR(J123="",J123=0),"",N123/J123)</f>
        <v/>
      </c>
    </row>
    <row r="124">
      <c r="B124" s="2">
        <f>IF(A124="","",IFERROR(INDEX('판매채널'!$B$2:$B$501,MATCH(A124,'판매채널'!$A$2:$A$501,0)),""))</f>
        <v/>
      </c>
      <c r="D124" s="2">
        <f>IF(C124="","",IFERROR(INDEX('판매구성'!$B$2:$B$501,MATCH(C124,'판매구성'!$A$2:$A$501,0)),""))</f>
        <v/>
      </c>
      <c r="G124" s="3" t="n"/>
      <c r="I124" s="2">
        <f>IF(C124="","",IFERROR(INDEX('판매구성'!$C$2:$C$501,MATCH(C124,'판매구성'!$A$2:$A$501,0)),""))</f>
        <v/>
      </c>
      <c r="J124" s="4">
        <f>IF(OR(C124="",E124=""),"",IFERROR(IF(INDEX('가격표'!$D$2:$K$501,MATCH(C124,'가격표'!$A$2:$A$501,0),MATCH(E124,'가격표'!$D$1:$K$1,0))="","",INDEX('가격표'!$D$2:$K$501,MATCH(C124,'가격표'!$A$2:$A$501,0),MATCH(E124,'가격표'!$D$1:$K$1,0))),""))</f>
        <v/>
      </c>
      <c r="K124" s="4">
        <f>IF(C124="","",IFERROR(INDEX('판매구성'!$D$2:$D$501,MATCH(C124,'판매구성'!$A$2:$A$501,0)),""))</f>
        <v/>
      </c>
      <c r="L124" s="4">
        <f>IF(OR(J124="",K124=""),"",ROUND(J124-(J124-K124)*'설정'!$B$2,0))</f>
        <v/>
      </c>
      <c r="M124" s="4">
        <f>IF(OR(A124="",J124=""),"",ROUND(J124*N(IFERROR(INDEX('판매채널'!$F$2:$F$501,MATCH(A124,'판매채널'!$A$2:$A$501,0)),"")),0))</f>
        <v/>
      </c>
      <c r="N124" s="4">
        <f>IF(OR(J124="",K124=""),"",J124-M124-K124)</f>
        <v/>
      </c>
      <c r="O124" s="5">
        <f>IF(OR(J124="",J124=0),"",N124/J124)</f>
        <v/>
      </c>
    </row>
    <row r="125">
      <c r="B125" s="2">
        <f>IF(A125="","",IFERROR(INDEX('판매채널'!$B$2:$B$501,MATCH(A125,'판매채널'!$A$2:$A$501,0)),""))</f>
        <v/>
      </c>
      <c r="D125" s="2">
        <f>IF(C125="","",IFERROR(INDEX('판매구성'!$B$2:$B$501,MATCH(C125,'판매구성'!$A$2:$A$501,0)),""))</f>
        <v/>
      </c>
      <c r="G125" s="3" t="n"/>
      <c r="I125" s="2">
        <f>IF(C125="","",IFERROR(INDEX('판매구성'!$C$2:$C$501,MATCH(C125,'판매구성'!$A$2:$A$501,0)),""))</f>
        <v/>
      </c>
      <c r="J125" s="4">
        <f>IF(OR(C125="",E125=""),"",IFERROR(IF(INDEX('가격표'!$D$2:$K$501,MATCH(C125,'가격표'!$A$2:$A$501,0),MATCH(E125,'가격표'!$D$1:$K$1,0))="","",INDEX('가격표'!$D$2:$K$501,MATCH(C125,'가격표'!$A$2:$A$501,0),MATCH(E125,'가격표'!$D$1:$K$1,0))),""))</f>
        <v/>
      </c>
      <c r="K125" s="4">
        <f>IF(C125="","",IFERROR(INDEX('판매구성'!$D$2:$D$501,MATCH(C125,'판매구성'!$A$2:$A$501,0)),""))</f>
        <v/>
      </c>
      <c r="L125" s="4">
        <f>IF(OR(J125="",K125=""),"",ROUND(J125-(J125-K125)*'설정'!$B$2,0))</f>
        <v/>
      </c>
      <c r="M125" s="4">
        <f>IF(OR(A125="",J125=""),"",ROUND(J125*N(IFERROR(INDEX('판매채널'!$F$2:$F$501,MATCH(A125,'판매채널'!$A$2:$A$501,0)),"")),0))</f>
        <v/>
      </c>
      <c r="N125" s="4">
        <f>IF(OR(J125="",K125=""),"",J125-M125-K125)</f>
        <v/>
      </c>
      <c r="O125" s="5">
        <f>IF(OR(J125="",J125=0),"",N125/J125)</f>
        <v/>
      </c>
    </row>
    <row r="126">
      <c r="B126" s="2">
        <f>IF(A126="","",IFERROR(INDEX('판매채널'!$B$2:$B$501,MATCH(A126,'판매채널'!$A$2:$A$501,0)),""))</f>
        <v/>
      </c>
      <c r="D126" s="2">
        <f>IF(C126="","",IFERROR(INDEX('판매구성'!$B$2:$B$501,MATCH(C126,'판매구성'!$A$2:$A$501,0)),""))</f>
        <v/>
      </c>
      <c r="G126" s="3" t="n"/>
      <c r="I126" s="2">
        <f>IF(C126="","",IFERROR(INDEX('판매구성'!$C$2:$C$501,MATCH(C126,'판매구성'!$A$2:$A$501,0)),""))</f>
        <v/>
      </c>
      <c r="J126" s="4">
        <f>IF(OR(C126="",E126=""),"",IFERROR(IF(INDEX('가격표'!$D$2:$K$501,MATCH(C126,'가격표'!$A$2:$A$501,0),MATCH(E126,'가격표'!$D$1:$K$1,0))="","",INDEX('가격표'!$D$2:$K$501,MATCH(C126,'가격표'!$A$2:$A$501,0),MATCH(E126,'가격표'!$D$1:$K$1,0))),""))</f>
        <v/>
      </c>
      <c r="K126" s="4">
        <f>IF(C126="","",IFERROR(INDEX('판매구성'!$D$2:$D$501,MATCH(C126,'판매구성'!$A$2:$A$501,0)),""))</f>
        <v/>
      </c>
      <c r="L126" s="4">
        <f>IF(OR(J126="",K126=""),"",ROUND(J126-(J126-K126)*'설정'!$B$2,0))</f>
        <v/>
      </c>
      <c r="M126" s="4">
        <f>IF(OR(A126="",J126=""),"",ROUND(J126*N(IFERROR(INDEX('판매채널'!$F$2:$F$501,MATCH(A126,'판매채널'!$A$2:$A$501,0)),"")),0))</f>
        <v/>
      </c>
      <c r="N126" s="4">
        <f>IF(OR(J126="",K126=""),"",J126-M126-K126)</f>
        <v/>
      </c>
      <c r="O126" s="5">
        <f>IF(OR(J126="",J126=0),"",N126/J126)</f>
        <v/>
      </c>
    </row>
    <row r="127">
      <c r="B127" s="2">
        <f>IF(A127="","",IFERROR(INDEX('판매채널'!$B$2:$B$501,MATCH(A127,'판매채널'!$A$2:$A$501,0)),""))</f>
        <v/>
      </c>
      <c r="D127" s="2">
        <f>IF(C127="","",IFERROR(INDEX('판매구성'!$B$2:$B$501,MATCH(C127,'판매구성'!$A$2:$A$501,0)),""))</f>
        <v/>
      </c>
      <c r="G127" s="3" t="n"/>
      <c r="I127" s="2">
        <f>IF(C127="","",IFERROR(INDEX('판매구성'!$C$2:$C$501,MATCH(C127,'판매구성'!$A$2:$A$501,0)),""))</f>
        <v/>
      </c>
      <c r="J127" s="4">
        <f>IF(OR(C127="",E127=""),"",IFERROR(IF(INDEX('가격표'!$D$2:$K$501,MATCH(C127,'가격표'!$A$2:$A$501,0),MATCH(E127,'가격표'!$D$1:$K$1,0))="","",INDEX('가격표'!$D$2:$K$501,MATCH(C127,'가격표'!$A$2:$A$501,0),MATCH(E127,'가격표'!$D$1:$K$1,0))),""))</f>
        <v/>
      </c>
      <c r="K127" s="4">
        <f>IF(C127="","",IFERROR(INDEX('판매구성'!$D$2:$D$501,MATCH(C127,'판매구성'!$A$2:$A$501,0)),""))</f>
        <v/>
      </c>
      <c r="L127" s="4">
        <f>IF(OR(J127="",K127=""),"",ROUND(J127-(J127-K127)*'설정'!$B$2,0))</f>
        <v/>
      </c>
      <c r="M127" s="4">
        <f>IF(OR(A127="",J127=""),"",ROUND(J127*N(IFERROR(INDEX('판매채널'!$F$2:$F$501,MATCH(A127,'판매채널'!$A$2:$A$501,0)),"")),0))</f>
        <v/>
      </c>
      <c r="N127" s="4">
        <f>IF(OR(J127="",K127=""),"",J127-M127-K127)</f>
        <v/>
      </c>
      <c r="O127" s="5">
        <f>IF(OR(J127="",J127=0),"",N127/J127)</f>
        <v/>
      </c>
    </row>
    <row r="128">
      <c r="B128" s="2">
        <f>IF(A128="","",IFERROR(INDEX('판매채널'!$B$2:$B$501,MATCH(A128,'판매채널'!$A$2:$A$501,0)),""))</f>
        <v/>
      </c>
      <c r="D128" s="2">
        <f>IF(C128="","",IFERROR(INDEX('판매구성'!$B$2:$B$501,MATCH(C128,'판매구성'!$A$2:$A$501,0)),""))</f>
        <v/>
      </c>
      <c r="G128" s="3" t="n"/>
      <c r="I128" s="2">
        <f>IF(C128="","",IFERROR(INDEX('판매구성'!$C$2:$C$501,MATCH(C128,'판매구성'!$A$2:$A$501,0)),""))</f>
        <v/>
      </c>
      <c r="J128" s="4">
        <f>IF(OR(C128="",E128=""),"",IFERROR(IF(INDEX('가격표'!$D$2:$K$501,MATCH(C128,'가격표'!$A$2:$A$501,0),MATCH(E128,'가격표'!$D$1:$K$1,0))="","",INDEX('가격표'!$D$2:$K$501,MATCH(C128,'가격표'!$A$2:$A$501,0),MATCH(E128,'가격표'!$D$1:$K$1,0))),""))</f>
        <v/>
      </c>
      <c r="K128" s="4">
        <f>IF(C128="","",IFERROR(INDEX('판매구성'!$D$2:$D$501,MATCH(C128,'판매구성'!$A$2:$A$501,0)),""))</f>
        <v/>
      </c>
      <c r="L128" s="4">
        <f>IF(OR(J128="",K128=""),"",ROUND(J128-(J128-K128)*'설정'!$B$2,0))</f>
        <v/>
      </c>
      <c r="M128" s="4">
        <f>IF(OR(A128="",J128=""),"",ROUND(J128*N(IFERROR(INDEX('판매채널'!$F$2:$F$501,MATCH(A128,'판매채널'!$A$2:$A$501,0)),"")),0))</f>
        <v/>
      </c>
      <c r="N128" s="4">
        <f>IF(OR(J128="",K128=""),"",J128-M128-K128)</f>
        <v/>
      </c>
      <c r="O128" s="5">
        <f>IF(OR(J128="",J128=0),"",N128/J128)</f>
        <v/>
      </c>
    </row>
    <row r="129">
      <c r="B129" s="2">
        <f>IF(A129="","",IFERROR(INDEX('판매채널'!$B$2:$B$501,MATCH(A129,'판매채널'!$A$2:$A$501,0)),""))</f>
        <v/>
      </c>
      <c r="D129" s="2">
        <f>IF(C129="","",IFERROR(INDEX('판매구성'!$B$2:$B$501,MATCH(C129,'판매구성'!$A$2:$A$501,0)),""))</f>
        <v/>
      </c>
      <c r="G129" s="3" t="n"/>
      <c r="I129" s="2">
        <f>IF(C129="","",IFERROR(INDEX('판매구성'!$C$2:$C$501,MATCH(C129,'판매구성'!$A$2:$A$501,0)),""))</f>
        <v/>
      </c>
      <c r="J129" s="4">
        <f>IF(OR(C129="",E129=""),"",IFERROR(IF(INDEX('가격표'!$D$2:$K$501,MATCH(C129,'가격표'!$A$2:$A$501,0),MATCH(E129,'가격표'!$D$1:$K$1,0))="","",INDEX('가격표'!$D$2:$K$501,MATCH(C129,'가격표'!$A$2:$A$501,0),MATCH(E129,'가격표'!$D$1:$K$1,0))),""))</f>
        <v/>
      </c>
      <c r="K129" s="4">
        <f>IF(C129="","",IFERROR(INDEX('판매구성'!$D$2:$D$501,MATCH(C129,'판매구성'!$A$2:$A$501,0)),""))</f>
        <v/>
      </c>
      <c r="L129" s="4">
        <f>IF(OR(J129="",K129=""),"",ROUND(J129-(J129-K129)*'설정'!$B$2,0))</f>
        <v/>
      </c>
      <c r="M129" s="4">
        <f>IF(OR(A129="",J129=""),"",ROUND(J129*N(IFERROR(INDEX('판매채널'!$F$2:$F$501,MATCH(A129,'판매채널'!$A$2:$A$501,0)),"")),0))</f>
        <v/>
      </c>
      <c r="N129" s="4">
        <f>IF(OR(J129="",K129=""),"",J129-M129-K129)</f>
        <v/>
      </c>
      <c r="O129" s="5">
        <f>IF(OR(J129="",J129=0),"",N129/J129)</f>
        <v/>
      </c>
    </row>
    <row r="130">
      <c r="B130" s="2">
        <f>IF(A130="","",IFERROR(INDEX('판매채널'!$B$2:$B$501,MATCH(A130,'판매채널'!$A$2:$A$501,0)),""))</f>
        <v/>
      </c>
      <c r="D130" s="2">
        <f>IF(C130="","",IFERROR(INDEX('판매구성'!$B$2:$B$501,MATCH(C130,'판매구성'!$A$2:$A$501,0)),""))</f>
        <v/>
      </c>
      <c r="G130" s="3" t="n"/>
      <c r="I130" s="2">
        <f>IF(C130="","",IFERROR(INDEX('판매구성'!$C$2:$C$501,MATCH(C130,'판매구성'!$A$2:$A$501,0)),""))</f>
        <v/>
      </c>
      <c r="J130" s="4">
        <f>IF(OR(C130="",E130=""),"",IFERROR(IF(INDEX('가격표'!$D$2:$K$501,MATCH(C130,'가격표'!$A$2:$A$501,0),MATCH(E130,'가격표'!$D$1:$K$1,0))="","",INDEX('가격표'!$D$2:$K$501,MATCH(C130,'가격표'!$A$2:$A$501,0),MATCH(E130,'가격표'!$D$1:$K$1,0))),""))</f>
        <v/>
      </c>
      <c r="K130" s="4">
        <f>IF(C130="","",IFERROR(INDEX('판매구성'!$D$2:$D$501,MATCH(C130,'판매구성'!$A$2:$A$501,0)),""))</f>
        <v/>
      </c>
      <c r="L130" s="4">
        <f>IF(OR(J130="",K130=""),"",ROUND(J130-(J130-K130)*'설정'!$B$2,0))</f>
        <v/>
      </c>
      <c r="M130" s="4">
        <f>IF(OR(A130="",J130=""),"",ROUND(J130*N(IFERROR(INDEX('판매채널'!$F$2:$F$501,MATCH(A130,'판매채널'!$A$2:$A$501,0)),"")),0))</f>
        <v/>
      </c>
      <c r="N130" s="4">
        <f>IF(OR(J130="",K130=""),"",J130-M130-K130)</f>
        <v/>
      </c>
      <c r="O130" s="5">
        <f>IF(OR(J130="",J130=0),"",N130/J130)</f>
        <v/>
      </c>
    </row>
    <row r="131">
      <c r="B131" s="2">
        <f>IF(A131="","",IFERROR(INDEX('판매채널'!$B$2:$B$501,MATCH(A131,'판매채널'!$A$2:$A$501,0)),""))</f>
        <v/>
      </c>
      <c r="D131" s="2">
        <f>IF(C131="","",IFERROR(INDEX('판매구성'!$B$2:$B$501,MATCH(C131,'판매구성'!$A$2:$A$501,0)),""))</f>
        <v/>
      </c>
      <c r="G131" s="3" t="n"/>
      <c r="I131" s="2">
        <f>IF(C131="","",IFERROR(INDEX('판매구성'!$C$2:$C$501,MATCH(C131,'판매구성'!$A$2:$A$501,0)),""))</f>
        <v/>
      </c>
      <c r="J131" s="4">
        <f>IF(OR(C131="",E131=""),"",IFERROR(IF(INDEX('가격표'!$D$2:$K$501,MATCH(C131,'가격표'!$A$2:$A$501,0),MATCH(E131,'가격표'!$D$1:$K$1,0))="","",INDEX('가격표'!$D$2:$K$501,MATCH(C131,'가격표'!$A$2:$A$501,0),MATCH(E131,'가격표'!$D$1:$K$1,0))),""))</f>
        <v/>
      </c>
      <c r="K131" s="4">
        <f>IF(C131="","",IFERROR(INDEX('판매구성'!$D$2:$D$501,MATCH(C131,'판매구성'!$A$2:$A$501,0)),""))</f>
        <v/>
      </c>
      <c r="L131" s="4">
        <f>IF(OR(J131="",K131=""),"",ROUND(J131-(J131-K131)*'설정'!$B$2,0))</f>
        <v/>
      </c>
      <c r="M131" s="4">
        <f>IF(OR(A131="",J131=""),"",ROUND(J131*N(IFERROR(INDEX('판매채널'!$F$2:$F$501,MATCH(A131,'판매채널'!$A$2:$A$501,0)),"")),0))</f>
        <v/>
      </c>
      <c r="N131" s="4">
        <f>IF(OR(J131="",K131=""),"",J131-M131-K131)</f>
        <v/>
      </c>
      <c r="O131" s="5">
        <f>IF(OR(J131="",J131=0),"",N131/J131)</f>
        <v/>
      </c>
    </row>
    <row r="132">
      <c r="B132" s="2">
        <f>IF(A132="","",IFERROR(INDEX('판매채널'!$B$2:$B$501,MATCH(A132,'판매채널'!$A$2:$A$501,0)),""))</f>
        <v/>
      </c>
      <c r="D132" s="2">
        <f>IF(C132="","",IFERROR(INDEX('판매구성'!$B$2:$B$501,MATCH(C132,'판매구성'!$A$2:$A$501,0)),""))</f>
        <v/>
      </c>
      <c r="G132" s="3" t="n"/>
      <c r="I132" s="2">
        <f>IF(C132="","",IFERROR(INDEX('판매구성'!$C$2:$C$501,MATCH(C132,'판매구성'!$A$2:$A$501,0)),""))</f>
        <v/>
      </c>
      <c r="J132" s="4">
        <f>IF(OR(C132="",E132=""),"",IFERROR(IF(INDEX('가격표'!$D$2:$K$501,MATCH(C132,'가격표'!$A$2:$A$501,0),MATCH(E132,'가격표'!$D$1:$K$1,0))="","",INDEX('가격표'!$D$2:$K$501,MATCH(C132,'가격표'!$A$2:$A$501,0),MATCH(E132,'가격표'!$D$1:$K$1,0))),""))</f>
        <v/>
      </c>
      <c r="K132" s="4">
        <f>IF(C132="","",IFERROR(INDEX('판매구성'!$D$2:$D$501,MATCH(C132,'판매구성'!$A$2:$A$501,0)),""))</f>
        <v/>
      </c>
      <c r="L132" s="4">
        <f>IF(OR(J132="",K132=""),"",ROUND(J132-(J132-K132)*'설정'!$B$2,0))</f>
        <v/>
      </c>
      <c r="M132" s="4">
        <f>IF(OR(A132="",J132=""),"",ROUND(J132*N(IFERROR(INDEX('판매채널'!$F$2:$F$501,MATCH(A132,'판매채널'!$A$2:$A$501,0)),"")),0))</f>
        <v/>
      </c>
      <c r="N132" s="4">
        <f>IF(OR(J132="",K132=""),"",J132-M132-K132)</f>
        <v/>
      </c>
      <c r="O132" s="5">
        <f>IF(OR(J132="",J132=0),"",N132/J132)</f>
        <v/>
      </c>
    </row>
    <row r="133">
      <c r="B133" s="2">
        <f>IF(A133="","",IFERROR(INDEX('판매채널'!$B$2:$B$501,MATCH(A133,'판매채널'!$A$2:$A$501,0)),""))</f>
        <v/>
      </c>
      <c r="D133" s="2">
        <f>IF(C133="","",IFERROR(INDEX('판매구성'!$B$2:$B$501,MATCH(C133,'판매구성'!$A$2:$A$501,0)),""))</f>
        <v/>
      </c>
      <c r="G133" s="3" t="n"/>
      <c r="I133" s="2">
        <f>IF(C133="","",IFERROR(INDEX('판매구성'!$C$2:$C$501,MATCH(C133,'판매구성'!$A$2:$A$501,0)),""))</f>
        <v/>
      </c>
      <c r="J133" s="4">
        <f>IF(OR(C133="",E133=""),"",IFERROR(IF(INDEX('가격표'!$D$2:$K$501,MATCH(C133,'가격표'!$A$2:$A$501,0),MATCH(E133,'가격표'!$D$1:$K$1,0))="","",INDEX('가격표'!$D$2:$K$501,MATCH(C133,'가격표'!$A$2:$A$501,0),MATCH(E133,'가격표'!$D$1:$K$1,0))),""))</f>
        <v/>
      </c>
      <c r="K133" s="4">
        <f>IF(C133="","",IFERROR(INDEX('판매구성'!$D$2:$D$501,MATCH(C133,'판매구성'!$A$2:$A$501,0)),""))</f>
        <v/>
      </c>
      <c r="L133" s="4">
        <f>IF(OR(J133="",K133=""),"",ROUND(J133-(J133-K133)*'설정'!$B$2,0))</f>
        <v/>
      </c>
      <c r="M133" s="4">
        <f>IF(OR(A133="",J133=""),"",ROUND(J133*N(IFERROR(INDEX('판매채널'!$F$2:$F$501,MATCH(A133,'판매채널'!$A$2:$A$501,0)),"")),0))</f>
        <v/>
      </c>
      <c r="N133" s="4">
        <f>IF(OR(J133="",K133=""),"",J133-M133-K133)</f>
        <v/>
      </c>
      <c r="O133" s="5">
        <f>IF(OR(J133="",J133=0),"",N133/J133)</f>
        <v/>
      </c>
    </row>
    <row r="134">
      <c r="B134" s="2">
        <f>IF(A134="","",IFERROR(INDEX('판매채널'!$B$2:$B$501,MATCH(A134,'판매채널'!$A$2:$A$501,0)),""))</f>
        <v/>
      </c>
      <c r="D134" s="2">
        <f>IF(C134="","",IFERROR(INDEX('판매구성'!$B$2:$B$501,MATCH(C134,'판매구성'!$A$2:$A$501,0)),""))</f>
        <v/>
      </c>
      <c r="G134" s="3" t="n"/>
      <c r="I134" s="2">
        <f>IF(C134="","",IFERROR(INDEX('판매구성'!$C$2:$C$501,MATCH(C134,'판매구성'!$A$2:$A$501,0)),""))</f>
        <v/>
      </c>
      <c r="J134" s="4">
        <f>IF(OR(C134="",E134=""),"",IFERROR(IF(INDEX('가격표'!$D$2:$K$501,MATCH(C134,'가격표'!$A$2:$A$501,0),MATCH(E134,'가격표'!$D$1:$K$1,0))="","",INDEX('가격표'!$D$2:$K$501,MATCH(C134,'가격표'!$A$2:$A$501,0),MATCH(E134,'가격표'!$D$1:$K$1,0))),""))</f>
        <v/>
      </c>
      <c r="K134" s="4">
        <f>IF(C134="","",IFERROR(INDEX('판매구성'!$D$2:$D$501,MATCH(C134,'판매구성'!$A$2:$A$501,0)),""))</f>
        <v/>
      </c>
      <c r="L134" s="4">
        <f>IF(OR(J134="",K134=""),"",ROUND(J134-(J134-K134)*'설정'!$B$2,0))</f>
        <v/>
      </c>
      <c r="M134" s="4">
        <f>IF(OR(A134="",J134=""),"",ROUND(J134*N(IFERROR(INDEX('판매채널'!$F$2:$F$501,MATCH(A134,'판매채널'!$A$2:$A$501,0)),"")),0))</f>
        <v/>
      </c>
      <c r="N134" s="4">
        <f>IF(OR(J134="",K134=""),"",J134-M134-K134)</f>
        <v/>
      </c>
      <c r="O134" s="5">
        <f>IF(OR(J134="",J134=0),"",N134/J134)</f>
        <v/>
      </c>
    </row>
    <row r="135">
      <c r="B135" s="2">
        <f>IF(A135="","",IFERROR(INDEX('판매채널'!$B$2:$B$501,MATCH(A135,'판매채널'!$A$2:$A$501,0)),""))</f>
        <v/>
      </c>
      <c r="D135" s="2">
        <f>IF(C135="","",IFERROR(INDEX('판매구성'!$B$2:$B$501,MATCH(C135,'판매구성'!$A$2:$A$501,0)),""))</f>
        <v/>
      </c>
      <c r="G135" s="3" t="n"/>
      <c r="I135" s="2">
        <f>IF(C135="","",IFERROR(INDEX('판매구성'!$C$2:$C$501,MATCH(C135,'판매구성'!$A$2:$A$501,0)),""))</f>
        <v/>
      </c>
      <c r="J135" s="4">
        <f>IF(OR(C135="",E135=""),"",IFERROR(IF(INDEX('가격표'!$D$2:$K$501,MATCH(C135,'가격표'!$A$2:$A$501,0),MATCH(E135,'가격표'!$D$1:$K$1,0))="","",INDEX('가격표'!$D$2:$K$501,MATCH(C135,'가격표'!$A$2:$A$501,0),MATCH(E135,'가격표'!$D$1:$K$1,0))),""))</f>
        <v/>
      </c>
      <c r="K135" s="4">
        <f>IF(C135="","",IFERROR(INDEX('판매구성'!$D$2:$D$501,MATCH(C135,'판매구성'!$A$2:$A$501,0)),""))</f>
        <v/>
      </c>
      <c r="L135" s="4">
        <f>IF(OR(J135="",K135=""),"",ROUND(J135-(J135-K135)*'설정'!$B$2,0))</f>
        <v/>
      </c>
      <c r="M135" s="4">
        <f>IF(OR(A135="",J135=""),"",ROUND(J135*N(IFERROR(INDEX('판매채널'!$F$2:$F$501,MATCH(A135,'판매채널'!$A$2:$A$501,0)),"")),0))</f>
        <v/>
      </c>
      <c r="N135" s="4">
        <f>IF(OR(J135="",K135=""),"",J135-M135-K135)</f>
        <v/>
      </c>
      <c r="O135" s="5">
        <f>IF(OR(J135="",J135=0),"",N135/J135)</f>
        <v/>
      </c>
    </row>
    <row r="136">
      <c r="B136" s="2">
        <f>IF(A136="","",IFERROR(INDEX('판매채널'!$B$2:$B$501,MATCH(A136,'판매채널'!$A$2:$A$501,0)),""))</f>
        <v/>
      </c>
      <c r="D136" s="2">
        <f>IF(C136="","",IFERROR(INDEX('판매구성'!$B$2:$B$501,MATCH(C136,'판매구성'!$A$2:$A$501,0)),""))</f>
        <v/>
      </c>
      <c r="G136" s="3" t="n"/>
      <c r="I136" s="2">
        <f>IF(C136="","",IFERROR(INDEX('판매구성'!$C$2:$C$501,MATCH(C136,'판매구성'!$A$2:$A$501,0)),""))</f>
        <v/>
      </c>
      <c r="J136" s="4">
        <f>IF(OR(C136="",E136=""),"",IFERROR(IF(INDEX('가격표'!$D$2:$K$501,MATCH(C136,'가격표'!$A$2:$A$501,0),MATCH(E136,'가격표'!$D$1:$K$1,0))="","",INDEX('가격표'!$D$2:$K$501,MATCH(C136,'가격표'!$A$2:$A$501,0),MATCH(E136,'가격표'!$D$1:$K$1,0))),""))</f>
        <v/>
      </c>
      <c r="K136" s="4">
        <f>IF(C136="","",IFERROR(INDEX('판매구성'!$D$2:$D$501,MATCH(C136,'판매구성'!$A$2:$A$501,0)),""))</f>
        <v/>
      </c>
      <c r="L136" s="4">
        <f>IF(OR(J136="",K136=""),"",ROUND(J136-(J136-K136)*'설정'!$B$2,0))</f>
        <v/>
      </c>
      <c r="M136" s="4">
        <f>IF(OR(A136="",J136=""),"",ROUND(J136*N(IFERROR(INDEX('판매채널'!$F$2:$F$501,MATCH(A136,'판매채널'!$A$2:$A$501,0)),"")),0))</f>
        <v/>
      </c>
      <c r="N136" s="4">
        <f>IF(OR(J136="",K136=""),"",J136-M136-K136)</f>
        <v/>
      </c>
      <c r="O136" s="5">
        <f>IF(OR(J136="",J136=0),"",N136/J136)</f>
        <v/>
      </c>
    </row>
    <row r="137">
      <c r="B137" s="2">
        <f>IF(A137="","",IFERROR(INDEX('판매채널'!$B$2:$B$501,MATCH(A137,'판매채널'!$A$2:$A$501,0)),""))</f>
        <v/>
      </c>
      <c r="D137" s="2">
        <f>IF(C137="","",IFERROR(INDEX('판매구성'!$B$2:$B$501,MATCH(C137,'판매구성'!$A$2:$A$501,0)),""))</f>
        <v/>
      </c>
      <c r="G137" s="3" t="n"/>
      <c r="I137" s="2">
        <f>IF(C137="","",IFERROR(INDEX('판매구성'!$C$2:$C$501,MATCH(C137,'판매구성'!$A$2:$A$501,0)),""))</f>
        <v/>
      </c>
      <c r="J137" s="4">
        <f>IF(OR(C137="",E137=""),"",IFERROR(IF(INDEX('가격표'!$D$2:$K$501,MATCH(C137,'가격표'!$A$2:$A$501,0),MATCH(E137,'가격표'!$D$1:$K$1,0))="","",INDEX('가격표'!$D$2:$K$501,MATCH(C137,'가격표'!$A$2:$A$501,0),MATCH(E137,'가격표'!$D$1:$K$1,0))),""))</f>
        <v/>
      </c>
      <c r="K137" s="4">
        <f>IF(C137="","",IFERROR(INDEX('판매구성'!$D$2:$D$501,MATCH(C137,'판매구성'!$A$2:$A$501,0)),""))</f>
        <v/>
      </c>
      <c r="L137" s="4">
        <f>IF(OR(J137="",K137=""),"",ROUND(J137-(J137-K137)*'설정'!$B$2,0))</f>
        <v/>
      </c>
      <c r="M137" s="4">
        <f>IF(OR(A137="",J137=""),"",ROUND(J137*N(IFERROR(INDEX('판매채널'!$F$2:$F$501,MATCH(A137,'판매채널'!$A$2:$A$501,0)),"")),0))</f>
        <v/>
      </c>
      <c r="N137" s="4">
        <f>IF(OR(J137="",K137=""),"",J137-M137-K137)</f>
        <v/>
      </c>
      <c r="O137" s="5">
        <f>IF(OR(J137="",J137=0),"",N137/J137)</f>
        <v/>
      </c>
    </row>
    <row r="138">
      <c r="B138" s="2">
        <f>IF(A138="","",IFERROR(INDEX('판매채널'!$B$2:$B$501,MATCH(A138,'판매채널'!$A$2:$A$501,0)),""))</f>
        <v/>
      </c>
      <c r="D138" s="2">
        <f>IF(C138="","",IFERROR(INDEX('판매구성'!$B$2:$B$501,MATCH(C138,'판매구성'!$A$2:$A$501,0)),""))</f>
        <v/>
      </c>
      <c r="G138" s="3" t="n"/>
      <c r="I138" s="2">
        <f>IF(C138="","",IFERROR(INDEX('판매구성'!$C$2:$C$501,MATCH(C138,'판매구성'!$A$2:$A$501,0)),""))</f>
        <v/>
      </c>
      <c r="J138" s="4">
        <f>IF(OR(C138="",E138=""),"",IFERROR(IF(INDEX('가격표'!$D$2:$K$501,MATCH(C138,'가격표'!$A$2:$A$501,0),MATCH(E138,'가격표'!$D$1:$K$1,0))="","",INDEX('가격표'!$D$2:$K$501,MATCH(C138,'가격표'!$A$2:$A$501,0),MATCH(E138,'가격표'!$D$1:$K$1,0))),""))</f>
        <v/>
      </c>
      <c r="K138" s="4">
        <f>IF(C138="","",IFERROR(INDEX('판매구성'!$D$2:$D$501,MATCH(C138,'판매구성'!$A$2:$A$501,0)),""))</f>
        <v/>
      </c>
      <c r="L138" s="4">
        <f>IF(OR(J138="",K138=""),"",ROUND(J138-(J138-K138)*'설정'!$B$2,0))</f>
        <v/>
      </c>
      <c r="M138" s="4">
        <f>IF(OR(A138="",J138=""),"",ROUND(J138*N(IFERROR(INDEX('판매채널'!$F$2:$F$501,MATCH(A138,'판매채널'!$A$2:$A$501,0)),"")),0))</f>
        <v/>
      </c>
      <c r="N138" s="4">
        <f>IF(OR(J138="",K138=""),"",J138-M138-K138)</f>
        <v/>
      </c>
      <c r="O138" s="5">
        <f>IF(OR(J138="",J138=0),"",N138/J138)</f>
        <v/>
      </c>
    </row>
    <row r="139">
      <c r="B139" s="2">
        <f>IF(A139="","",IFERROR(INDEX('판매채널'!$B$2:$B$501,MATCH(A139,'판매채널'!$A$2:$A$501,0)),""))</f>
        <v/>
      </c>
      <c r="D139" s="2">
        <f>IF(C139="","",IFERROR(INDEX('판매구성'!$B$2:$B$501,MATCH(C139,'판매구성'!$A$2:$A$501,0)),""))</f>
        <v/>
      </c>
      <c r="G139" s="3" t="n"/>
      <c r="I139" s="2">
        <f>IF(C139="","",IFERROR(INDEX('판매구성'!$C$2:$C$501,MATCH(C139,'판매구성'!$A$2:$A$501,0)),""))</f>
        <v/>
      </c>
      <c r="J139" s="4">
        <f>IF(OR(C139="",E139=""),"",IFERROR(IF(INDEX('가격표'!$D$2:$K$501,MATCH(C139,'가격표'!$A$2:$A$501,0),MATCH(E139,'가격표'!$D$1:$K$1,0))="","",INDEX('가격표'!$D$2:$K$501,MATCH(C139,'가격표'!$A$2:$A$501,0),MATCH(E139,'가격표'!$D$1:$K$1,0))),""))</f>
        <v/>
      </c>
      <c r="K139" s="4">
        <f>IF(C139="","",IFERROR(INDEX('판매구성'!$D$2:$D$501,MATCH(C139,'판매구성'!$A$2:$A$501,0)),""))</f>
        <v/>
      </c>
      <c r="L139" s="4">
        <f>IF(OR(J139="",K139=""),"",ROUND(J139-(J139-K139)*'설정'!$B$2,0))</f>
        <v/>
      </c>
      <c r="M139" s="4">
        <f>IF(OR(A139="",J139=""),"",ROUND(J139*N(IFERROR(INDEX('판매채널'!$F$2:$F$501,MATCH(A139,'판매채널'!$A$2:$A$501,0)),"")),0))</f>
        <v/>
      </c>
      <c r="N139" s="4">
        <f>IF(OR(J139="",K139=""),"",J139-M139-K139)</f>
        <v/>
      </c>
      <c r="O139" s="5">
        <f>IF(OR(J139="",J139=0),"",N139/J139)</f>
        <v/>
      </c>
    </row>
    <row r="140">
      <c r="B140" s="2">
        <f>IF(A140="","",IFERROR(INDEX('판매채널'!$B$2:$B$501,MATCH(A140,'판매채널'!$A$2:$A$501,0)),""))</f>
        <v/>
      </c>
      <c r="D140" s="2">
        <f>IF(C140="","",IFERROR(INDEX('판매구성'!$B$2:$B$501,MATCH(C140,'판매구성'!$A$2:$A$501,0)),""))</f>
        <v/>
      </c>
      <c r="G140" s="3" t="n"/>
      <c r="I140" s="2">
        <f>IF(C140="","",IFERROR(INDEX('판매구성'!$C$2:$C$501,MATCH(C140,'판매구성'!$A$2:$A$501,0)),""))</f>
        <v/>
      </c>
      <c r="J140" s="4">
        <f>IF(OR(C140="",E140=""),"",IFERROR(IF(INDEX('가격표'!$D$2:$K$501,MATCH(C140,'가격표'!$A$2:$A$501,0),MATCH(E140,'가격표'!$D$1:$K$1,0))="","",INDEX('가격표'!$D$2:$K$501,MATCH(C140,'가격표'!$A$2:$A$501,0),MATCH(E140,'가격표'!$D$1:$K$1,0))),""))</f>
        <v/>
      </c>
      <c r="K140" s="4">
        <f>IF(C140="","",IFERROR(INDEX('판매구성'!$D$2:$D$501,MATCH(C140,'판매구성'!$A$2:$A$501,0)),""))</f>
        <v/>
      </c>
      <c r="L140" s="4">
        <f>IF(OR(J140="",K140=""),"",ROUND(J140-(J140-K140)*'설정'!$B$2,0))</f>
        <v/>
      </c>
      <c r="M140" s="4">
        <f>IF(OR(A140="",J140=""),"",ROUND(J140*N(IFERROR(INDEX('판매채널'!$F$2:$F$501,MATCH(A140,'판매채널'!$A$2:$A$501,0)),"")),0))</f>
        <v/>
      </c>
      <c r="N140" s="4">
        <f>IF(OR(J140="",K140=""),"",J140-M140-K140)</f>
        <v/>
      </c>
      <c r="O140" s="5">
        <f>IF(OR(J140="",J140=0),"",N140/J140)</f>
        <v/>
      </c>
    </row>
    <row r="141">
      <c r="B141" s="2">
        <f>IF(A141="","",IFERROR(INDEX('판매채널'!$B$2:$B$501,MATCH(A141,'판매채널'!$A$2:$A$501,0)),""))</f>
        <v/>
      </c>
      <c r="D141" s="2">
        <f>IF(C141="","",IFERROR(INDEX('판매구성'!$B$2:$B$501,MATCH(C141,'판매구성'!$A$2:$A$501,0)),""))</f>
        <v/>
      </c>
      <c r="G141" s="3" t="n"/>
      <c r="I141" s="2">
        <f>IF(C141="","",IFERROR(INDEX('판매구성'!$C$2:$C$501,MATCH(C141,'판매구성'!$A$2:$A$501,0)),""))</f>
        <v/>
      </c>
      <c r="J141" s="4">
        <f>IF(OR(C141="",E141=""),"",IFERROR(IF(INDEX('가격표'!$D$2:$K$501,MATCH(C141,'가격표'!$A$2:$A$501,0),MATCH(E141,'가격표'!$D$1:$K$1,0))="","",INDEX('가격표'!$D$2:$K$501,MATCH(C141,'가격표'!$A$2:$A$501,0),MATCH(E141,'가격표'!$D$1:$K$1,0))),""))</f>
        <v/>
      </c>
      <c r="K141" s="4">
        <f>IF(C141="","",IFERROR(INDEX('판매구성'!$D$2:$D$501,MATCH(C141,'판매구성'!$A$2:$A$501,0)),""))</f>
        <v/>
      </c>
      <c r="L141" s="4">
        <f>IF(OR(J141="",K141=""),"",ROUND(J141-(J141-K141)*'설정'!$B$2,0))</f>
        <v/>
      </c>
      <c r="M141" s="4">
        <f>IF(OR(A141="",J141=""),"",ROUND(J141*N(IFERROR(INDEX('판매채널'!$F$2:$F$501,MATCH(A141,'판매채널'!$A$2:$A$501,0)),"")),0))</f>
        <v/>
      </c>
      <c r="N141" s="4">
        <f>IF(OR(J141="",K141=""),"",J141-M141-K141)</f>
        <v/>
      </c>
      <c r="O141" s="5">
        <f>IF(OR(J141="",J141=0),"",N141/J141)</f>
        <v/>
      </c>
    </row>
    <row r="142">
      <c r="B142" s="2">
        <f>IF(A142="","",IFERROR(INDEX('판매채널'!$B$2:$B$501,MATCH(A142,'판매채널'!$A$2:$A$501,0)),""))</f>
        <v/>
      </c>
      <c r="D142" s="2">
        <f>IF(C142="","",IFERROR(INDEX('판매구성'!$B$2:$B$501,MATCH(C142,'판매구성'!$A$2:$A$501,0)),""))</f>
        <v/>
      </c>
      <c r="G142" s="3" t="n"/>
      <c r="I142" s="2">
        <f>IF(C142="","",IFERROR(INDEX('판매구성'!$C$2:$C$501,MATCH(C142,'판매구성'!$A$2:$A$501,0)),""))</f>
        <v/>
      </c>
      <c r="J142" s="4">
        <f>IF(OR(C142="",E142=""),"",IFERROR(IF(INDEX('가격표'!$D$2:$K$501,MATCH(C142,'가격표'!$A$2:$A$501,0),MATCH(E142,'가격표'!$D$1:$K$1,0))="","",INDEX('가격표'!$D$2:$K$501,MATCH(C142,'가격표'!$A$2:$A$501,0),MATCH(E142,'가격표'!$D$1:$K$1,0))),""))</f>
        <v/>
      </c>
      <c r="K142" s="4">
        <f>IF(C142="","",IFERROR(INDEX('판매구성'!$D$2:$D$501,MATCH(C142,'판매구성'!$A$2:$A$501,0)),""))</f>
        <v/>
      </c>
      <c r="L142" s="4">
        <f>IF(OR(J142="",K142=""),"",ROUND(J142-(J142-K142)*'설정'!$B$2,0))</f>
        <v/>
      </c>
      <c r="M142" s="4">
        <f>IF(OR(A142="",J142=""),"",ROUND(J142*N(IFERROR(INDEX('판매채널'!$F$2:$F$501,MATCH(A142,'판매채널'!$A$2:$A$501,0)),"")),0))</f>
        <v/>
      </c>
      <c r="N142" s="4">
        <f>IF(OR(J142="",K142=""),"",J142-M142-K142)</f>
        <v/>
      </c>
      <c r="O142" s="5">
        <f>IF(OR(J142="",J142=0),"",N142/J142)</f>
        <v/>
      </c>
    </row>
    <row r="143">
      <c r="B143" s="2">
        <f>IF(A143="","",IFERROR(INDEX('판매채널'!$B$2:$B$501,MATCH(A143,'판매채널'!$A$2:$A$501,0)),""))</f>
        <v/>
      </c>
      <c r="D143" s="2">
        <f>IF(C143="","",IFERROR(INDEX('판매구성'!$B$2:$B$501,MATCH(C143,'판매구성'!$A$2:$A$501,0)),""))</f>
        <v/>
      </c>
      <c r="G143" s="3" t="n"/>
      <c r="I143" s="2">
        <f>IF(C143="","",IFERROR(INDEX('판매구성'!$C$2:$C$501,MATCH(C143,'판매구성'!$A$2:$A$501,0)),""))</f>
        <v/>
      </c>
      <c r="J143" s="4">
        <f>IF(OR(C143="",E143=""),"",IFERROR(IF(INDEX('가격표'!$D$2:$K$501,MATCH(C143,'가격표'!$A$2:$A$501,0),MATCH(E143,'가격표'!$D$1:$K$1,0))="","",INDEX('가격표'!$D$2:$K$501,MATCH(C143,'가격표'!$A$2:$A$501,0),MATCH(E143,'가격표'!$D$1:$K$1,0))),""))</f>
        <v/>
      </c>
      <c r="K143" s="4">
        <f>IF(C143="","",IFERROR(INDEX('판매구성'!$D$2:$D$501,MATCH(C143,'판매구성'!$A$2:$A$501,0)),""))</f>
        <v/>
      </c>
      <c r="L143" s="4">
        <f>IF(OR(J143="",K143=""),"",ROUND(J143-(J143-K143)*'설정'!$B$2,0))</f>
        <v/>
      </c>
      <c r="M143" s="4">
        <f>IF(OR(A143="",J143=""),"",ROUND(J143*N(IFERROR(INDEX('판매채널'!$F$2:$F$501,MATCH(A143,'판매채널'!$A$2:$A$501,0)),"")),0))</f>
        <v/>
      </c>
      <c r="N143" s="4">
        <f>IF(OR(J143="",K143=""),"",J143-M143-K143)</f>
        <v/>
      </c>
      <c r="O143" s="5">
        <f>IF(OR(J143="",J143=0),"",N143/J143)</f>
        <v/>
      </c>
    </row>
    <row r="144">
      <c r="B144" s="2">
        <f>IF(A144="","",IFERROR(INDEX('판매채널'!$B$2:$B$501,MATCH(A144,'판매채널'!$A$2:$A$501,0)),""))</f>
        <v/>
      </c>
      <c r="D144" s="2">
        <f>IF(C144="","",IFERROR(INDEX('판매구성'!$B$2:$B$501,MATCH(C144,'판매구성'!$A$2:$A$501,0)),""))</f>
        <v/>
      </c>
      <c r="G144" s="3" t="n"/>
      <c r="I144" s="2">
        <f>IF(C144="","",IFERROR(INDEX('판매구성'!$C$2:$C$501,MATCH(C144,'판매구성'!$A$2:$A$501,0)),""))</f>
        <v/>
      </c>
      <c r="J144" s="4">
        <f>IF(OR(C144="",E144=""),"",IFERROR(IF(INDEX('가격표'!$D$2:$K$501,MATCH(C144,'가격표'!$A$2:$A$501,0),MATCH(E144,'가격표'!$D$1:$K$1,0))="","",INDEX('가격표'!$D$2:$K$501,MATCH(C144,'가격표'!$A$2:$A$501,0),MATCH(E144,'가격표'!$D$1:$K$1,0))),""))</f>
        <v/>
      </c>
      <c r="K144" s="4">
        <f>IF(C144="","",IFERROR(INDEX('판매구성'!$D$2:$D$501,MATCH(C144,'판매구성'!$A$2:$A$501,0)),""))</f>
        <v/>
      </c>
      <c r="L144" s="4">
        <f>IF(OR(J144="",K144=""),"",ROUND(J144-(J144-K144)*'설정'!$B$2,0))</f>
        <v/>
      </c>
      <c r="M144" s="4">
        <f>IF(OR(A144="",J144=""),"",ROUND(J144*N(IFERROR(INDEX('판매채널'!$F$2:$F$501,MATCH(A144,'판매채널'!$A$2:$A$501,0)),"")),0))</f>
        <v/>
      </c>
      <c r="N144" s="4">
        <f>IF(OR(J144="",K144=""),"",J144-M144-K144)</f>
        <v/>
      </c>
      <c r="O144" s="5">
        <f>IF(OR(J144="",J144=0),"",N144/J144)</f>
        <v/>
      </c>
    </row>
    <row r="145">
      <c r="B145" s="2">
        <f>IF(A145="","",IFERROR(INDEX('판매채널'!$B$2:$B$501,MATCH(A145,'판매채널'!$A$2:$A$501,0)),""))</f>
        <v/>
      </c>
      <c r="D145" s="2">
        <f>IF(C145="","",IFERROR(INDEX('판매구성'!$B$2:$B$501,MATCH(C145,'판매구성'!$A$2:$A$501,0)),""))</f>
        <v/>
      </c>
      <c r="G145" s="3" t="n"/>
      <c r="I145" s="2">
        <f>IF(C145="","",IFERROR(INDEX('판매구성'!$C$2:$C$501,MATCH(C145,'판매구성'!$A$2:$A$501,0)),""))</f>
        <v/>
      </c>
      <c r="J145" s="4">
        <f>IF(OR(C145="",E145=""),"",IFERROR(IF(INDEX('가격표'!$D$2:$K$501,MATCH(C145,'가격표'!$A$2:$A$501,0),MATCH(E145,'가격표'!$D$1:$K$1,0))="","",INDEX('가격표'!$D$2:$K$501,MATCH(C145,'가격표'!$A$2:$A$501,0),MATCH(E145,'가격표'!$D$1:$K$1,0))),""))</f>
        <v/>
      </c>
      <c r="K145" s="4">
        <f>IF(C145="","",IFERROR(INDEX('판매구성'!$D$2:$D$501,MATCH(C145,'판매구성'!$A$2:$A$501,0)),""))</f>
        <v/>
      </c>
      <c r="L145" s="4">
        <f>IF(OR(J145="",K145=""),"",ROUND(J145-(J145-K145)*'설정'!$B$2,0))</f>
        <v/>
      </c>
      <c r="M145" s="4">
        <f>IF(OR(A145="",J145=""),"",ROUND(J145*N(IFERROR(INDEX('판매채널'!$F$2:$F$501,MATCH(A145,'판매채널'!$A$2:$A$501,0)),"")),0))</f>
        <v/>
      </c>
      <c r="N145" s="4">
        <f>IF(OR(J145="",K145=""),"",J145-M145-K145)</f>
        <v/>
      </c>
      <c r="O145" s="5">
        <f>IF(OR(J145="",J145=0),"",N145/J145)</f>
        <v/>
      </c>
    </row>
    <row r="146">
      <c r="B146" s="2">
        <f>IF(A146="","",IFERROR(INDEX('판매채널'!$B$2:$B$501,MATCH(A146,'판매채널'!$A$2:$A$501,0)),""))</f>
        <v/>
      </c>
      <c r="D146" s="2">
        <f>IF(C146="","",IFERROR(INDEX('판매구성'!$B$2:$B$501,MATCH(C146,'판매구성'!$A$2:$A$501,0)),""))</f>
        <v/>
      </c>
      <c r="G146" s="3" t="n"/>
      <c r="I146" s="2">
        <f>IF(C146="","",IFERROR(INDEX('판매구성'!$C$2:$C$501,MATCH(C146,'판매구성'!$A$2:$A$501,0)),""))</f>
        <v/>
      </c>
      <c r="J146" s="4">
        <f>IF(OR(C146="",E146=""),"",IFERROR(IF(INDEX('가격표'!$D$2:$K$501,MATCH(C146,'가격표'!$A$2:$A$501,0),MATCH(E146,'가격표'!$D$1:$K$1,0))="","",INDEX('가격표'!$D$2:$K$501,MATCH(C146,'가격표'!$A$2:$A$501,0),MATCH(E146,'가격표'!$D$1:$K$1,0))),""))</f>
        <v/>
      </c>
      <c r="K146" s="4">
        <f>IF(C146="","",IFERROR(INDEX('판매구성'!$D$2:$D$501,MATCH(C146,'판매구성'!$A$2:$A$501,0)),""))</f>
        <v/>
      </c>
      <c r="L146" s="4">
        <f>IF(OR(J146="",K146=""),"",ROUND(J146-(J146-K146)*'설정'!$B$2,0))</f>
        <v/>
      </c>
      <c r="M146" s="4">
        <f>IF(OR(A146="",J146=""),"",ROUND(J146*N(IFERROR(INDEX('판매채널'!$F$2:$F$501,MATCH(A146,'판매채널'!$A$2:$A$501,0)),"")),0))</f>
        <v/>
      </c>
      <c r="N146" s="4">
        <f>IF(OR(J146="",K146=""),"",J146-M146-K146)</f>
        <v/>
      </c>
      <c r="O146" s="5">
        <f>IF(OR(J146="",J146=0),"",N146/J146)</f>
        <v/>
      </c>
    </row>
    <row r="147">
      <c r="B147" s="2">
        <f>IF(A147="","",IFERROR(INDEX('판매채널'!$B$2:$B$501,MATCH(A147,'판매채널'!$A$2:$A$501,0)),""))</f>
        <v/>
      </c>
      <c r="D147" s="2">
        <f>IF(C147="","",IFERROR(INDEX('판매구성'!$B$2:$B$501,MATCH(C147,'판매구성'!$A$2:$A$501,0)),""))</f>
        <v/>
      </c>
      <c r="G147" s="3" t="n"/>
      <c r="I147" s="2">
        <f>IF(C147="","",IFERROR(INDEX('판매구성'!$C$2:$C$501,MATCH(C147,'판매구성'!$A$2:$A$501,0)),""))</f>
        <v/>
      </c>
      <c r="J147" s="4">
        <f>IF(OR(C147="",E147=""),"",IFERROR(IF(INDEX('가격표'!$D$2:$K$501,MATCH(C147,'가격표'!$A$2:$A$501,0),MATCH(E147,'가격표'!$D$1:$K$1,0))="","",INDEX('가격표'!$D$2:$K$501,MATCH(C147,'가격표'!$A$2:$A$501,0),MATCH(E147,'가격표'!$D$1:$K$1,0))),""))</f>
        <v/>
      </c>
      <c r="K147" s="4">
        <f>IF(C147="","",IFERROR(INDEX('판매구성'!$D$2:$D$501,MATCH(C147,'판매구성'!$A$2:$A$501,0)),""))</f>
        <v/>
      </c>
      <c r="L147" s="4">
        <f>IF(OR(J147="",K147=""),"",ROUND(J147-(J147-K147)*'설정'!$B$2,0))</f>
        <v/>
      </c>
      <c r="M147" s="4">
        <f>IF(OR(A147="",J147=""),"",ROUND(J147*N(IFERROR(INDEX('판매채널'!$F$2:$F$501,MATCH(A147,'판매채널'!$A$2:$A$501,0)),"")),0))</f>
        <v/>
      </c>
      <c r="N147" s="4">
        <f>IF(OR(J147="",K147=""),"",J147-M147-K147)</f>
        <v/>
      </c>
      <c r="O147" s="5">
        <f>IF(OR(J147="",J147=0),"",N147/J147)</f>
        <v/>
      </c>
    </row>
    <row r="148">
      <c r="B148" s="2">
        <f>IF(A148="","",IFERROR(INDEX('판매채널'!$B$2:$B$501,MATCH(A148,'판매채널'!$A$2:$A$501,0)),""))</f>
        <v/>
      </c>
      <c r="D148" s="2">
        <f>IF(C148="","",IFERROR(INDEX('판매구성'!$B$2:$B$501,MATCH(C148,'판매구성'!$A$2:$A$501,0)),""))</f>
        <v/>
      </c>
      <c r="G148" s="3" t="n"/>
      <c r="I148" s="2">
        <f>IF(C148="","",IFERROR(INDEX('판매구성'!$C$2:$C$501,MATCH(C148,'판매구성'!$A$2:$A$501,0)),""))</f>
        <v/>
      </c>
      <c r="J148" s="4">
        <f>IF(OR(C148="",E148=""),"",IFERROR(IF(INDEX('가격표'!$D$2:$K$501,MATCH(C148,'가격표'!$A$2:$A$501,0),MATCH(E148,'가격표'!$D$1:$K$1,0))="","",INDEX('가격표'!$D$2:$K$501,MATCH(C148,'가격표'!$A$2:$A$501,0),MATCH(E148,'가격표'!$D$1:$K$1,0))),""))</f>
        <v/>
      </c>
      <c r="K148" s="4">
        <f>IF(C148="","",IFERROR(INDEX('판매구성'!$D$2:$D$501,MATCH(C148,'판매구성'!$A$2:$A$501,0)),""))</f>
        <v/>
      </c>
      <c r="L148" s="4">
        <f>IF(OR(J148="",K148=""),"",ROUND(J148-(J148-K148)*'설정'!$B$2,0))</f>
        <v/>
      </c>
      <c r="M148" s="4">
        <f>IF(OR(A148="",J148=""),"",ROUND(J148*N(IFERROR(INDEX('판매채널'!$F$2:$F$501,MATCH(A148,'판매채널'!$A$2:$A$501,0)),"")),0))</f>
        <v/>
      </c>
      <c r="N148" s="4">
        <f>IF(OR(J148="",K148=""),"",J148-M148-K148)</f>
        <v/>
      </c>
      <c r="O148" s="5">
        <f>IF(OR(J148="",J148=0),"",N148/J148)</f>
        <v/>
      </c>
    </row>
    <row r="149">
      <c r="B149" s="2">
        <f>IF(A149="","",IFERROR(INDEX('판매채널'!$B$2:$B$501,MATCH(A149,'판매채널'!$A$2:$A$501,0)),""))</f>
        <v/>
      </c>
      <c r="D149" s="2">
        <f>IF(C149="","",IFERROR(INDEX('판매구성'!$B$2:$B$501,MATCH(C149,'판매구성'!$A$2:$A$501,0)),""))</f>
        <v/>
      </c>
      <c r="G149" s="3" t="n"/>
      <c r="I149" s="2">
        <f>IF(C149="","",IFERROR(INDEX('판매구성'!$C$2:$C$501,MATCH(C149,'판매구성'!$A$2:$A$501,0)),""))</f>
        <v/>
      </c>
      <c r="J149" s="4">
        <f>IF(OR(C149="",E149=""),"",IFERROR(IF(INDEX('가격표'!$D$2:$K$501,MATCH(C149,'가격표'!$A$2:$A$501,0),MATCH(E149,'가격표'!$D$1:$K$1,0))="","",INDEX('가격표'!$D$2:$K$501,MATCH(C149,'가격표'!$A$2:$A$501,0),MATCH(E149,'가격표'!$D$1:$K$1,0))),""))</f>
        <v/>
      </c>
      <c r="K149" s="4">
        <f>IF(C149="","",IFERROR(INDEX('판매구성'!$D$2:$D$501,MATCH(C149,'판매구성'!$A$2:$A$501,0)),""))</f>
        <v/>
      </c>
      <c r="L149" s="4">
        <f>IF(OR(J149="",K149=""),"",ROUND(J149-(J149-K149)*'설정'!$B$2,0))</f>
        <v/>
      </c>
      <c r="M149" s="4">
        <f>IF(OR(A149="",J149=""),"",ROUND(J149*N(IFERROR(INDEX('판매채널'!$F$2:$F$501,MATCH(A149,'판매채널'!$A$2:$A$501,0)),"")),0))</f>
        <v/>
      </c>
      <c r="N149" s="4">
        <f>IF(OR(J149="",K149=""),"",J149-M149-K149)</f>
        <v/>
      </c>
      <c r="O149" s="5">
        <f>IF(OR(J149="",J149=0),"",N149/J149)</f>
        <v/>
      </c>
    </row>
    <row r="150">
      <c r="B150" s="2">
        <f>IF(A150="","",IFERROR(INDEX('판매채널'!$B$2:$B$501,MATCH(A150,'판매채널'!$A$2:$A$501,0)),""))</f>
        <v/>
      </c>
      <c r="D150" s="2">
        <f>IF(C150="","",IFERROR(INDEX('판매구성'!$B$2:$B$501,MATCH(C150,'판매구성'!$A$2:$A$501,0)),""))</f>
        <v/>
      </c>
      <c r="G150" s="3" t="n"/>
      <c r="I150" s="2">
        <f>IF(C150="","",IFERROR(INDEX('판매구성'!$C$2:$C$501,MATCH(C150,'판매구성'!$A$2:$A$501,0)),""))</f>
        <v/>
      </c>
      <c r="J150" s="4">
        <f>IF(OR(C150="",E150=""),"",IFERROR(IF(INDEX('가격표'!$D$2:$K$501,MATCH(C150,'가격표'!$A$2:$A$501,0),MATCH(E150,'가격표'!$D$1:$K$1,0))="","",INDEX('가격표'!$D$2:$K$501,MATCH(C150,'가격표'!$A$2:$A$501,0),MATCH(E150,'가격표'!$D$1:$K$1,0))),""))</f>
        <v/>
      </c>
      <c r="K150" s="4">
        <f>IF(C150="","",IFERROR(INDEX('판매구성'!$D$2:$D$501,MATCH(C150,'판매구성'!$A$2:$A$501,0)),""))</f>
        <v/>
      </c>
      <c r="L150" s="4">
        <f>IF(OR(J150="",K150=""),"",ROUND(J150-(J150-K150)*'설정'!$B$2,0))</f>
        <v/>
      </c>
      <c r="M150" s="4">
        <f>IF(OR(A150="",J150=""),"",ROUND(J150*N(IFERROR(INDEX('판매채널'!$F$2:$F$501,MATCH(A150,'판매채널'!$A$2:$A$501,0)),"")),0))</f>
        <v/>
      </c>
      <c r="N150" s="4">
        <f>IF(OR(J150="",K150=""),"",J150-M150-K150)</f>
        <v/>
      </c>
      <c r="O150" s="5">
        <f>IF(OR(J150="",J150=0),"",N150/J150)</f>
        <v/>
      </c>
    </row>
    <row r="151">
      <c r="B151" s="2">
        <f>IF(A151="","",IFERROR(INDEX('판매채널'!$B$2:$B$501,MATCH(A151,'판매채널'!$A$2:$A$501,0)),""))</f>
        <v/>
      </c>
      <c r="D151" s="2">
        <f>IF(C151="","",IFERROR(INDEX('판매구성'!$B$2:$B$501,MATCH(C151,'판매구성'!$A$2:$A$501,0)),""))</f>
        <v/>
      </c>
      <c r="G151" s="3" t="n"/>
      <c r="I151" s="2">
        <f>IF(C151="","",IFERROR(INDEX('판매구성'!$C$2:$C$501,MATCH(C151,'판매구성'!$A$2:$A$501,0)),""))</f>
        <v/>
      </c>
      <c r="J151" s="4">
        <f>IF(OR(C151="",E151=""),"",IFERROR(IF(INDEX('가격표'!$D$2:$K$501,MATCH(C151,'가격표'!$A$2:$A$501,0),MATCH(E151,'가격표'!$D$1:$K$1,0))="","",INDEX('가격표'!$D$2:$K$501,MATCH(C151,'가격표'!$A$2:$A$501,0),MATCH(E151,'가격표'!$D$1:$K$1,0))),""))</f>
        <v/>
      </c>
      <c r="K151" s="4">
        <f>IF(C151="","",IFERROR(INDEX('판매구성'!$D$2:$D$501,MATCH(C151,'판매구성'!$A$2:$A$501,0)),""))</f>
        <v/>
      </c>
      <c r="L151" s="4">
        <f>IF(OR(J151="",K151=""),"",ROUND(J151-(J151-K151)*'설정'!$B$2,0))</f>
        <v/>
      </c>
      <c r="M151" s="4">
        <f>IF(OR(A151="",J151=""),"",ROUND(J151*N(IFERROR(INDEX('판매채널'!$F$2:$F$501,MATCH(A151,'판매채널'!$A$2:$A$501,0)),"")),0))</f>
        <v/>
      </c>
      <c r="N151" s="4">
        <f>IF(OR(J151="",K151=""),"",J151-M151-K151)</f>
        <v/>
      </c>
      <c r="O151" s="5">
        <f>IF(OR(J151="",J151=0),"",N151/J151)</f>
        <v/>
      </c>
    </row>
    <row r="152">
      <c r="B152" s="2">
        <f>IF(A152="","",IFERROR(INDEX('판매채널'!$B$2:$B$501,MATCH(A152,'판매채널'!$A$2:$A$501,0)),""))</f>
        <v/>
      </c>
      <c r="D152" s="2">
        <f>IF(C152="","",IFERROR(INDEX('판매구성'!$B$2:$B$501,MATCH(C152,'판매구성'!$A$2:$A$501,0)),""))</f>
        <v/>
      </c>
      <c r="G152" s="3" t="n"/>
      <c r="I152" s="2">
        <f>IF(C152="","",IFERROR(INDEX('판매구성'!$C$2:$C$501,MATCH(C152,'판매구성'!$A$2:$A$501,0)),""))</f>
        <v/>
      </c>
      <c r="J152" s="4">
        <f>IF(OR(C152="",E152=""),"",IFERROR(IF(INDEX('가격표'!$D$2:$K$501,MATCH(C152,'가격표'!$A$2:$A$501,0),MATCH(E152,'가격표'!$D$1:$K$1,0))="","",INDEX('가격표'!$D$2:$K$501,MATCH(C152,'가격표'!$A$2:$A$501,0),MATCH(E152,'가격표'!$D$1:$K$1,0))),""))</f>
        <v/>
      </c>
      <c r="K152" s="4">
        <f>IF(C152="","",IFERROR(INDEX('판매구성'!$D$2:$D$501,MATCH(C152,'판매구성'!$A$2:$A$501,0)),""))</f>
        <v/>
      </c>
      <c r="L152" s="4">
        <f>IF(OR(J152="",K152=""),"",ROUND(J152-(J152-K152)*'설정'!$B$2,0))</f>
        <v/>
      </c>
      <c r="M152" s="4">
        <f>IF(OR(A152="",J152=""),"",ROUND(J152*N(IFERROR(INDEX('판매채널'!$F$2:$F$501,MATCH(A152,'판매채널'!$A$2:$A$501,0)),"")),0))</f>
        <v/>
      </c>
      <c r="N152" s="4">
        <f>IF(OR(J152="",K152=""),"",J152-M152-K152)</f>
        <v/>
      </c>
      <c r="O152" s="5">
        <f>IF(OR(J152="",J152=0),"",N152/J152)</f>
        <v/>
      </c>
    </row>
    <row r="153">
      <c r="B153" s="2">
        <f>IF(A153="","",IFERROR(INDEX('판매채널'!$B$2:$B$501,MATCH(A153,'판매채널'!$A$2:$A$501,0)),""))</f>
        <v/>
      </c>
      <c r="D153" s="2">
        <f>IF(C153="","",IFERROR(INDEX('판매구성'!$B$2:$B$501,MATCH(C153,'판매구성'!$A$2:$A$501,0)),""))</f>
        <v/>
      </c>
      <c r="G153" s="3" t="n"/>
      <c r="I153" s="2">
        <f>IF(C153="","",IFERROR(INDEX('판매구성'!$C$2:$C$501,MATCH(C153,'판매구성'!$A$2:$A$501,0)),""))</f>
        <v/>
      </c>
      <c r="J153" s="4">
        <f>IF(OR(C153="",E153=""),"",IFERROR(IF(INDEX('가격표'!$D$2:$K$501,MATCH(C153,'가격표'!$A$2:$A$501,0),MATCH(E153,'가격표'!$D$1:$K$1,0))="","",INDEX('가격표'!$D$2:$K$501,MATCH(C153,'가격표'!$A$2:$A$501,0),MATCH(E153,'가격표'!$D$1:$K$1,0))),""))</f>
        <v/>
      </c>
      <c r="K153" s="4">
        <f>IF(C153="","",IFERROR(INDEX('판매구성'!$D$2:$D$501,MATCH(C153,'판매구성'!$A$2:$A$501,0)),""))</f>
        <v/>
      </c>
      <c r="L153" s="4">
        <f>IF(OR(J153="",K153=""),"",ROUND(J153-(J153-K153)*'설정'!$B$2,0))</f>
        <v/>
      </c>
      <c r="M153" s="4">
        <f>IF(OR(A153="",J153=""),"",ROUND(J153*N(IFERROR(INDEX('판매채널'!$F$2:$F$501,MATCH(A153,'판매채널'!$A$2:$A$501,0)),"")),0))</f>
        <v/>
      </c>
      <c r="N153" s="4">
        <f>IF(OR(J153="",K153=""),"",J153-M153-K153)</f>
        <v/>
      </c>
      <c r="O153" s="5">
        <f>IF(OR(J153="",J153=0),"",N153/J153)</f>
        <v/>
      </c>
    </row>
    <row r="154">
      <c r="B154" s="2">
        <f>IF(A154="","",IFERROR(INDEX('판매채널'!$B$2:$B$501,MATCH(A154,'판매채널'!$A$2:$A$501,0)),""))</f>
        <v/>
      </c>
      <c r="D154" s="2">
        <f>IF(C154="","",IFERROR(INDEX('판매구성'!$B$2:$B$501,MATCH(C154,'판매구성'!$A$2:$A$501,0)),""))</f>
        <v/>
      </c>
      <c r="G154" s="3" t="n"/>
      <c r="I154" s="2">
        <f>IF(C154="","",IFERROR(INDEX('판매구성'!$C$2:$C$501,MATCH(C154,'판매구성'!$A$2:$A$501,0)),""))</f>
        <v/>
      </c>
      <c r="J154" s="4">
        <f>IF(OR(C154="",E154=""),"",IFERROR(IF(INDEX('가격표'!$D$2:$K$501,MATCH(C154,'가격표'!$A$2:$A$501,0),MATCH(E154,'가격표'!$D$1:$K$1,0))="","",INDEX('가격표'!$D$2:$K$501,MATCH(C154,'가격표'!$A$2:$A$501,0),MATCH(E154,'가격표'!$D$1:$K$1,0))),""))</f>
        <v/>
      </c>
      <c r="K154" s="4">
        <f>IF(C154="","",IFERROR(INDEX('판매구성'!$D$2:$D$501,MATCH(C154,'판매구성'!$A$2:$A$501,0)),""))</f>
        <v/>
      </c>
      <c r="L154" s="4">
        <f>IF(OR(J154="",K154=""),"",ROUND(J154-(J154-K154)*'설정'!$B$2,0))</f>
        <v/>
      </c>
      <c r="M154" s="4">
        <f>IF(OR(A154="",J154=""),"",ROUND(J154*N(IFERROR(INDEX('판매채널'!$F$2:$F$501,MATCH(A154,'판매채널'!$A$2:$A$501,0)),"")),0))</f>
        <v/>
      </c>
      <c r="N154" s="4">
        <f>IF(OR(J154="",K154=""),"",J154-M154-K154)</f>
        <v/>
      </c>
      <c r="O154" s="5">
        <f>IF(OR(J154="",J154=0),"",N154/J154)</f>
        <v/>
      </c>
    </row>
    <row r="155">
      <c r="B155" s="2">
        <f>IF(A155="","",IFERROR(INDEX('판매채널'!$B$2:$B$501,MATCH(A155,'판매채널'!$A$2:$A$501,0)),""))</f>
        <v/>
      </c>
      <c r="D155" s="2">
        <f>IF(C155="","",IFERROR(INDEX('판매구성'!$B$2:$B$501,MATCH(C155,'판매구성'!$A$2:$A$501,0)),""))</f>
        <v/>
      </c>
      <c r="G155" s="3" t="n"/>
      <c r="I155" s="2">
        <f>IF(C155="","",IFERROR(INDEX('판매구성'!$C$2:$C$501,MATCH(C155,'판매구성'!$A$2:$A$501,0)),""))</f>
        <v/>
      </c>
      <c r="J155" s="4">
        <f>IF(OR(C155="",E155=""),"",IFERROR(IF(INDEX('가격표'!$D$2:$K$501,MATCH(C155,'가격표'!$A$2:$A$501,0),MATCH(E155,'가격표'!$D$1:$K$1,0))="","",INDEX('가격표'!$D$2:$K$501,MATCH(C155,'가격표'!$A$2:$A$501,0),MATCH(E155,'가격표'!$D$1:$K$1,0))),""))</f>
        <v/>
      </c>
      <c r="K155" s="4">
        <f>IF(C155="","",IFERROR(INDEX('판매구성'!$D$2:$D$501,MATCH(C155,'판매구성'!$A$2:$A$501,0)),""))</f>
        <v/>
      </c>
      <c r="L155" s="4">
        <f>IF(OR(J155="",K155=""),"",ROUND(J155-(J155-K155)*'설정'!$B$2,0))</f>
        <v/>
      </c>
      <c r="M155" s="4">
        <f>IF(OR(A155="",J155=""),"",ROUND(J155*N(IFERROR(INDEX('판매채널'!$F$2:$F$501,MATCH(A155,'판매채널'!$A$2:$A$501,0)),"")),0))</f>
        <v/>
      </c>
      <c r="N155" s="4">
        <f>IF(OR(J155="",K155=""),"",J155-M155-K155)</f>
        <v/>
      </c>
      <c r="O155" s="5">
        <f>IF(OR(J155="",J155=0),"",N155/J155)</f>
        <v/>
      </c>
    </row>
    <row r="156">
      <c r="B156" s="2">
        <f>IF(A156="","",IFERROR(INDEX('판매채널'!$B$2:$B$501,MATCH(A156,'판매채널'!$A$2:$A$501,0)),""))</f>
        <v/>
      </c>
      <c r="D156" s="2">
        <f>IF(C156="","",IFERROR(INDEX('판매구성'!$B$2:$B$501,MATCH(C156,'판매구성'!$A$2:$A$501,0)),""))</f>
        <v/>
      </c>
      <c r="G156" s="3" t="n"/>
      <c r="I156" s="2">
        <f>IF(C156="","",IFERROR(INDEX('판매구성'!$C$2:$C$501,MATCH(C156,'판매구성'!$A$2:$A$501,0)),""))</f>
        <v/>
      </c>
      <c r="J156" s="4">
        <f>IF(OR(C156="",E156=""),"",IFERROR(IF(INDEX('가격표'!$D$2:$K$501,MATCH(C156,'가격표'!$A$2:$A$501,0),MATCH(E156,'가격표'!$D$1:$K$1,0))="","",INDEX('가격표'!$D$2:$K$501,MATCH(C156,'가격표'!$A$2:$A$501,0),MATCH(E156,'가격표'!$D$1:$K$1,0))),""))</f>
        <v/>
      </c>
      <c r="K156" s="4">
        <f>IF(C156="","",IFERROR(INDEX('판매구성'!$D$2:$D$501,MATCH(C156,'판매구성'!$A$2:$A$501,0)),""))</f>
        <v/>
      </c>
      <c r="L156" s="4">
        <f>IF(OR(J156="",K156=""),"",ROUND(J156-(J156-K156)*'설정'!$B$2,0))</f>
        <v/>
      </c>
      <c r="M156" s="4">
        <f>IF(OR(A156="",J156=""),"",ROUND(J156*N(IFERROR(INDEX('판매채널'!$F$2:$F$501,MATCH(A156,'판매채널'!$A$2:$A$501,0)),"")),0))</f>
        <v/>
      </c>
      <c r="N156" s="4">
        <f>IF(OR(J156="",K156=""),"",J156-M156-K156)</f>
        <v/>
      </c>
      <c r="O156" s="5">
        <f>IF(OR(J156="",J156=0),"",N156/J156)</f>
        <v/>
      </c>
    </row>
    <row r="157">
      <c r="B157" s="2">
        <f>IF(A157="","",IFERROR(INDEX('판매채널'!$B$2:$B$501,MATCH(A157,'판매채널'!$A$2:$A$501,0)),""))</f>
        <v/>
      </c>
      <c r="D157" s="2">
        <f>IF(C157="","",IFERROR(INDEX('판매구성'!$B$2:$B$501,MATCH(C157,'판매구성'!$A$2:$A$501,0)),""))</f>
        <v/>
      </c>
      <c r="G157" s="3" t="n"/>
      <c r="I157" s="2">
        <f>IF(C157="","",IFERROR(INDEX('판매구성'!$C$2:$C$501,MATCH(C157,'판매구성'!$A$2:$A$501,0)),""))</f>
        <v/>
      </c>
      <c r="J157" s="4">
        <f>IF(OR(C157="",E157=""),"",IFERROR(IF(INDEX('가격표'!$D$2:$K$501,MATCH(C157,'가격표'!$A$2:$A$501,0),MATCH(E157,'가격표'!$D$1:$K$1,0))="","",INDEX('가격표'!$D$2:$K$501,MATCH(C157,'가격표'!$A$2:$A$501,0),MATCH(E157,'가격표'!$D$1:$K$1,0))),""))</f>
        <v/>
      </c>
      <c r="K157" s="4">
        <f>IF(C157="","",IFERROR(INDEX('판매구성'!$D$2:$D$501,MATCH(C157,'판매구성'!$A$2:$A$501,0)),""))</f>
        <v/>
      </c>
      <c r="L157" s="4">
        <f>IF(OR(J157="",K157=""),"",ROUND(J157-(J157-K157)*'설정'!$B$2,0))</f>
        <v/>
      </c>
      <c r="M157" s="4">
        <f>IF(OR(A157="",J157=""),"",ROUND(J157*N(IFERROR(INDEX('판매채널'!$F$2:$F$501,MATCH(A157,'판매채널'!$A$2:$A$501,0)),"")),0))</f>
        <v/>
      </c>
      <c r="N157" s="4">
        <f>IF(OR(J157="",K157=""),"",J157-M157-K157)</f>
        <v/>
      </c>
      <c r="O157" s="5">
        <f>IF(OR(J157="",J157=0),"",N157/J157)</f>
        <v/>
      </c>
    </row>
    <row r="158">
      <c r="B158" s="2">
        <f>IF(A158="","",IFERROR(INDEX('판매채널'!$B$2:$B$501,MATCH(A158,'판매채널'!$A$2:$A$501,0)),""))</f>
        <v/>
      </c>
      <c r="D158" s="2">
        <f>IF(C158="","",IFERROR(INDEX('판매구성'!$B$2:$B$501,MATCH(C158,'판매구성'!$A$2:$A$501,0)),""))</f>
        <v/>
      </c>
      <c r="G158" s="3" t="n"/>
      <c r="I158" s="2">
        <f>IF(C158="","",IFERROR(INDEX('판매구성'!$C$2:$C$501,MATCH(C158,'판매구성'!$A$2:$A$501,0)),""))</f>
        <v/>
      </c>
      <c r="J158" s="4">
        <f>IF(OR(C158="",E158=""),"",IFERROR(IF(INDEX('가격표'!$D$2:$K$501,MATCH(C158,'가격표'!$A$2:$A$501,0),MATCH(E158,'가격표'!$D$1:$K$1,0))="","",INDEX('가격표'!$D$2:$K$501,MATCH(C158,'가격표'!$A$2:$A$501,0),MATCH(E158,'가격표'!$D$1:$K$1,0))),""))</f>
        <v/>
      </c>
      <c r="K158" s="4">
        <f>IF(C158="","",IFERROR(INDEX('판매구성'!$D$2:$D$501,MATCH(C158,'판매구성'!$A$2:$A$501,0)),""))</f>
        <v/>
      </c>
      <c r="L158" s="4">
        <f>IF(OR(J158="",K158=""),"",ROUND(J158-(J158-K158)*'설정'!$B$2,0))</f>
        <v/>
      </c>
      <c r="M158" s="4">
        <f>IF(OR(A158="",J158=""),"",ROUND(J158*N(IFERROR(INDEX('판매채널'!$F$2:$F$501,MATCH(A158,'판매채널'!$A$2:$A$501,0)),"")),0))</f>
        <v/>
      </c>
      <c r="N158" s="4">
        <f>IF(OR(J158="",K158=""),"",J158-M158-K158)</f>
        <v/>
      </c>
      <c r="O158" s="5">
        <f>IF(OR(J158="",J158=0),"",N158/J158)</f>
        <v/>
      </c>
    </row>
    <row r="159">
      <c r="B159" s="2">
        <f>IF(A159="","",IFERROR(INDEX('판매채널'!$B$2:$B$501,MATCH(A159,'판매채널'!$A$2:$A$501,0)),""))</f>
        <v/>
      </c>
      <c r="D159" s="2">
        <f>IF(C159="","",IFERROR(INDEX('판매구성'!$B$2:$B$501,MATCH(C159,'판매구성'!$A$2:$A$501,0)),""))</f>
        <v/>
      </c>
      <c r="G159" s="3" t="n"/>
      <c r="I159" s="2">
        <f>IF(C159="","",IFERROR(INDEX('판매구성'!$C$2:$C$501,MATCH(C159,'판매구성'!$A$2:$A$501,0)),""))</f>
        <v/>
      </c>
      <c r="J159" s="4">
        <f>IF(OR(C159="",E159=""),"",IFERROR(IF(INDEX('가격표'!$D$2:$K$501,MATCH(C159,'가격표'!$A$2:$A$501,0),MATCH(E159,'가격표'!$D$1:$K$1,0))="","",INDEX('가격표'!$D$2:$K$501,MATCH(C159,'가격표'!$A$2:$A$501,0),MATCH(E159,'가격표'!$D$1:$K$1,0))),""))</f>
        <v/>
      </c>
      <c r="K159" s="4">
        <f>IF(C159="","",IFERROR(INDEX('판매구성'!$D$2:$D$501,MATCH(C159,'판매구성'!$A$2:$A$501,0)),""))</f>
        <v/>
      </c>
      <c r="L159" s="4">
        <f>IF(OR(J159="",K159=""),"",ROUND(J159-(J159-K159)*'설정'!$B$2,0))</f>
        <v/>
      </c>
      <c r="M159" s="4">
        <f>IF(OR(A159="",J159=""),"",ROUND(J159*N(IFERROR(INDEX('판매채널'!$F$2:$F$501,MATCH(A159,'판매채널'!$A$2:$A$501,0)),"")),0))</f>
        <v/>
      </c>
      <c r="N159" s="4">
        <f>IF(OR(J159="",K159=""),"",J159-M159-K159)</f>
        <v/>
      </c>
      <c r="O159" s="5">
        <f>IF(OR(J159="",J159=0),"",N159/J159)</f>
        <v/>
      </c>
    </row>
    <row r="160">
      <c r="B160" s="2">
        <f>IF(A160="","",IFERROR(INDEX('판매채널'!$B$2:$B$501,MATCH(A160,'판매채널'!$A$2:$A$501,0)),""))</f>
        <v/>
      </c>
      <c r="D160" s="2">
        <f>IF(C160="","",IFERROR(INDEX('판매구성'!$B$2:$B$501,MATCH(C160,'판매구성'!$A$2:$A$501,0)),""))</f>
        <v/>
      </c>
      <c r="G160" s="3" t="n"/>
      <c r="I160" s="2">
        <f>IF(C160="","",IFERROR(INDEX('판매구성'!$C$2:$C$501,MATCH(C160,'판매구성'!$A$2:$A$501,0)),""))</f>
        <v/>
      </c>
      <c r="J160" s="4">
        <f>IF(OR(C160="",E160=""),"",IFERROR(IF(INDEX('가격표'!$D$2:$K$501,MATCH(C160,'가격표'!$A$2:$A$501,0),MATCH(E160,'가격표'!$D$1:$K$1,0))="","",INDEX('가격표'!$D$2:$K$501,MATCH(C160,'가격표'!$A$2:$A$501,0),MATCH(E160,'가격표'!$D$1:$K$1,0))),""))</f>
        <v/>
      </c>
      <c r="K160" s="4">
        <f>IF(C160="","",IFERROR(INDEX('판매구성'!$D$2:$D$501,MATCH(C160,'판매구성'!$A$2:$A$501,0)),""))</f>
        <v/>
      </c>
      <c r="L160" s="4">
        <f>IF(OR(J160="",K160=""),"",ROUND(J160-(J160-K160)*'설정'!$B$2,0))</f>
        <v/>
      </c>
      <c r="M160" s="4">
        <f>IF(OR(A160="",J160=""),"",ROUND(J160*N(IFERROR(INDEX('판매채널'!$F$2:$F$501,MATCH(A160,'판매채널'!$A$2:$A$501,0)),"")),0))</f>
        <v/>
      </c>
      <c r="N160" s="4">
        <f>IF(OR(J160="",K160=""),"",J160-M160-K160)</f>
        <v/>
      </c>
      <c r="O160" s="5">
        <f>IF(OR(J160="",J160=0),"",N160/J160)</f>
        <v/>
      </c>
    </row>
    <row r="161">
      <c r="B161" s="2">
        <f>IF(A161="","",IFERROR(INDEX('판매채널'!$B$2:$B$501,MATCH(A161,'판매채널'!$A$2:$A$501,0)),""))</f>
        <v/>
      </c>
      <c r="D161" s="2">
        <f>IF(C161="","",IFERROR(INDEX('판매구성'!$B$2:$B$501,MATCH(C161,'판매구성'!$A$2:$A$501,0)),""))</f>
        <v/>
      </c>
      <c r="G161" s="3" t="n"/>
      <c r="I161" s="2">
        <f>IF(C161="","",IFERROR(INDEX('판매구성'!$C$2:$C$501,MATCH(C161,'판매구성'!$A$2:$A$501,0)),""))</f>
        <v/>
      </c>
      <c r="J161" s="4">
        <f>IF(OR(C161="",E161=""),"",IFERROR(IF(INDEX('가격표'!$D$2:$K$501,MATCH(C161,'가격표'!$A$2:$A$501,0),MATCH(E161,'가격표'!$D$1:$K$1,0))="","",INDEX('가격표'!$D$2:$K$501,MATCH(C161,'가격표'!$A$2:$A$501,0),MATCH(E161,'가격표'!$D$1:$K$1,0))),""))</f>
        <v/>
      </c>
      <c r="K161" s="4">
        <f>IF(C161="","",IFERROR(INDEX('판매구성'!$D$2:$D$501,MATCH(C161,'판매구성'!$A$2:$A$501,0)),""))</f>
        <v/>
      </c>
      <c r="L161" s="4">
        <f>IF(OR(J161="",K161=""),"",ROUND(J161-(J161-K161)*'설정'!$B$2,0))</f>
        <v/>
      </c>
      <c r="M161" s="4">
        <f>IF(OR(A161="",J161=""),"",ROUND(J161*N(IFERROR(INDEX('판매채널'!$F$2:$F$501,MATCH(A161,'판매채널'!$A$2:$A$501,0)),"")),0))</f>
        <v/>
      </c>
      <c r="N161" s="4">
        <f>IF(OR(J161="",K161=""),"",J161-M161-K161)</f>
        <v/>
      </c>
      <c r="O161" s="5">
        <f>IF(OR(J161="",J161=0),"",N161/J161)</f>
        <v/>
      </c>
    </row>
    <row r="162">
      <c r="B162" s="2">
        <f>IF(A162="","",IFERROR(INDEX('판매채널'!$B$2:$B$501,MATCH(A162,'판매채널'!$A$2:$A$501,0)),""))</f>
        <v/>
      </c>
      <c r="D162" s="2">
        <f>IF(C162="","",IFERROR(INDEX('판매구성'!$B$2:$B$501,MATCH(C162,'판매구성'!$A$2:$A$501,0)),""))</f>
        <v/>
      </c>
      <c r="G162" s="3" t="n"/>
      <c r="I162" s="2">
        <f>IF(C162="","",IFERROR(INDEX('판매구성'!$C$2:$C$501,MATCH(C162,'판매구성'!$A$2:$A$501,0)),""))</f>
        <v/>
      </c>
      <c r="J162" s="4">
        <f>IF(OR(C162="",E162=""),"",IFERROR(IF(INDEX('가격표'!$D$2:$K$501,MATCH(C162,'가격표'!$A$2:$A$501,0),MATCH(E162,'가격표'!$D$1:$K$1,0))="","",INDEX('가격표'!$D$2:$K$501,MATCH(C162,'가격표'!$A$2:$A$501,0),MATCH(E162,'가격표'!$D$1:$K$1,0))),""))</f>
        <v/>
      </c>
      <c r="K162" s="4">
        <f>IF(C162="","",IFERROR(INDEX('판매구성'!$D$2:$D$501,MATCH(C162,'판매구성'!$A$2:$A$501,0)),""))</f>
        <v/>
      </c>
      <c r="L162" s="4">
        <f>IF(OR(J162="",K162=""),"",ROUND(J162-(J162-K162)*'설정'!$B$2,0))</f>
        <v/>
      </c>
      <c r="M162" s="4">
        <f>IF(OR(A162="",J162=""),"",ROUND(J162*N(IFERROR(INDEX('판매채널'!$F$2:$F$501,MATCH(A162,'판매채널'!$A$2:$A$501,0)),"")),0))</f>
        <v/>
      </c>
      <c r="N162" s="4">
        <f>IF(OR(J162="",K162=""),"",J162-M162-K162)</f>
        <v/>
      </c>
      <c r="O162" s="5">
        <f>IF(OR(J162="",J162=0),"",N162/J162)</f>
        <v/>
      </c>
    </row>
    <row r="163">
      <c r="B163" s="2">
        <f>IF(A163="","",IFERROR(INDEX('판매채널'!$B$2:$B$501,MATCH(A163,'판매채널'!$A$2:$A$501,0)),""))</f>
        <v/>
      </c>
      <c r="D163" s="2">
        <f>IF(C163="","",IFERROR(INDEX('판매구성'!$B$2:$B$501,MATCH(C163,'판매구성'!$A$2:$A$501,0)),""))</f>
        <v/>
      </c>
      <c r="G163" s="3" t="n"/>
      <c r="I163" s="2">
        <f>IF(C163="","",IFERROR(INDEX('판매구성'!$C$2:$C$501,MATCH(C163,'판매구성'!$A$2:$A$501,0)),""))</f>
        <v/>
      </c>
      <c r="J163" s="4">
        <f>IF(OR(C163="",E163=""),"",IFERROR(IF(INDEX('가격표'!$D$2:$K$501,MATCH(C163,'가격표'!$A$2:$A$501,0),MATCH(E163,'가격표'!$D$1:$K$1,0))="","",INDEX('가격표'!$D$2:$K$501,MATCH(C163,'가격표'!$A$2:$A$501,0),MATCH(E163,'가격표'!$D$1:$K$1,0))),""))</f>
        <v/>
      </c>
      <c r="K163" s="4">
        <f>IF(C163="","",IFERROR(INDEX('판매구성'!$D$2:$D$501,MATCH(C163,'판매구성'!$A$2:$A$501,0)),""))</f>
        <v/>
      </c>
      <c r="L163" s="4">
        <f>IF(OR(J163="",K163=""),"",ROUND(J163-(J163-K163)*'설정'!$B$2,0))</f>
        <v/>
      </c>
      <c r="M163" s="4">
        <f>IF(OR(A163="",J163=""),"",ROUND(J163*N(IFERROR(INDEX('판매채널'!$F$2:$F$501,MATCH(A163,'판매채널'!$A$2:$A$501,0)),"")),0))</f>
        <v/>
      </c>
      <c r="N163" s="4">
        <f>IF(OR(J163="",K163=""),"",J163-M163-K163)</f>
        <v/>
      </c>
      <c r="O163" s="5">
        <f>IF(OR(J163="",J163=0),"",N163/J163)</f>
        <v/>
      </c>
    </row>
    <row r="164">
      <c r="B164" s="2">
        <f>IF(A164="","",IFERROR(INDEX('판매채널'!$B$2:$B$501,MATCH(A164,'판매채널'!$A$2:$A$501,0)),""))</f>
        <v/>
      </c>
      <c r="D164" s="2">
        <f>IF(C164="","",IFERROR(INDEX('판매구성'!$B$2:$B$501,MATCH(C164,'판매구성'!$A$2:$A$501,0)),""))</f>
        <v/>
      </c>
      <c r="G164" s="3" t="n"/>
      <c r="I164" s="2">
        <f>IF(C164="","",IFERROR(INDEX('판매구성'!$C$2:$C$501,MATCH(C164,'판매구성'!$A$2:$A$501,0)),""))</f>
        <v/>
      </c>
      <c r="J164" s="4">
        <f>IF(OR(C164="",E164=""),"",IFERROR(IF(INDEX('가격표'!$D$2:$K$501,MATCH(C164,'가격표'!$A$2:$A$501,0),MATCH(E164,'가격표'!$D$1:$K$1,0))="","",INDEX('가격표'!$D$2:$K$501,MATCH(C164,'가격표'!$A$2:$A$501,0),MATCH(E164,'가격표'!$D$1:$K$1,0))),""))</f>
        <v/>
      </c>
      <c r="K164" s="4">
        <f>IF(C164="","",IFERROR(INDEX('판매구성'!$D$2:$D$501,MATCH(C164,'판매구성'!$A$2:$A$501,0)),""))</f>
        <v/>
      </c>
      <c r="L164" s="4">
        <f>IF(OR(J164="",K164=""),"",ROUND(J164-(J164-K164)*'설정'!$B$2,0))</f>
        <v/>
      </c>
      <c r="M164" s="4">
        <f>IF(OR(A164="",J164=""),"",ROUND(J164*N(IFERROR(INDEX('판매채널'!$F$2:$F$501,MATCH(A164,'판매채널'!$A$2:$A$501,0)),"")),0))</f>
        <v/>
      </c>
      <c r="N164" s="4">
        <f>IF(OR(J164="",K164=""),"",J164-M164-K164)</f>
        <v/>
      </c>
      <c r="O164" s="5">
        <f>IF(OR(J164="",J164=0),"",N164/J164)</f>
        <v/>
      </c>
    </row>
    <row r="165">
      <c r="B165" s="2">
        <f>IF(A165="","",IFERROR(INDEX('판매채널'!$B$2:$B$501,MATCH(A165,'판매채널'!$A$2:$A$501,0)),""))</f>
        <v/>
      </c>
      <c r="D165" s="2">
        <f>IF(C165="","",IFERROR(INDEX('판매구성'!$B$2:$B$501,MATCH(C165,'판매구성'!$A$2:$A$501,0)),""))</f>
        <v/>
      </c>
      <c r="G165" s="3" t="n"/>
      <c r="I165" s="2">
        <f>IF(C165="","",IFERROR(INDEX('판매구성'!$C$2:$C$501,MATCH(C165,'판매구성'!$A$2:$A$501,0)),""))</f>
        <v/>
      </c>
      <c r="J165" s="4">
        <f>IF(OR(C165="",E165=""),"",IFERROR(IF(INDEX('가격표'!$D$2:$K$501,MATCH(C165,'가격표'!$A$2:$A$501,0),MATCH(E165,'가격표'!$D$1:$K$1,0))="","",INDEX('가격표'!$D$2:$K$501,MATCH(C165,'가격표'!$A$2:$A$501,0),MATCH(E165,'가격표'!$D$1:$K$1,0))),""))</f>
        <v/>
      </c>
      <c r="K165" s="4">
        <f>IF(C165="","",IFERROR(INDEX('판매구성'!$D$2:$D$501,MATCH(C165,'판매구성'!$A$2:$A$501,0)),""))</f>
        <v/>
      </c>
      <c r="L165" s="4">
        <f>IF(OR(J165="",K165=""),"",ROUND(J165-(J165-K165)*'설정'!$B$2,0))</f>
        <v/>
      </c>
      <c r="M165" s="4">
        <f>IF(OR(A165="",J165=""),"",ROUND(J165*N(IFERROR(INDEX('판매채널'!$F$2:$F$501,MATCH(A165,'판매채널'!$A$2:$A$501,0)),"")),0))</f>
        <v/>
      </c>
      <c r="N165" s="4">
        <f>IF(OR(J165="",K165=""),"",J165-M165-K165)</f>
        <v/>
      </c>
      <c r="O165" s="5">
        <f>IF(OR(J165="",J165=0),"",N165/J165)</f>
        <v/>
      </c>
    </row>
    <row r="166">
      <c r="B166" s="2">
        <f>IF(A166="","",IFERROR(INDEX('판매채널'!$B$2:$B$501,MATCH(A166,'판매채널'!$A$2:$A$501,0)),""))</f>
        <v/>
      </c>
      <c r="D166" s="2">
        <f>IF(C166="","",IFERROR(INDEX('판매구성'!$B$2:$B$501,MATCH(C166,'판매구성'!$A$2:$A$501,0)),""))</f>
        <v/>
      </c>
      <c r="G166" s="3" t="n"/>
      <c r="I166" s="2">
        <f>IF(C166="","",IFERROR(INDEX('판매구성'!$C$2:$C$501,MATCH(C166,'판매구성'!$A$2:$A$501,0)),""))</f>
        <v/>
      </c>
      <c r="J166" s="4">
        <f>IF(OR(C166="",E166=""),"",IFERROR(IF(INDEX('가격표'!$D$2:$K$501,MATCH(C166,'가격표'!$A$2:$A$501,0),MATCH(E166,'가격표'!$D$1:$K$1,0))="","",INDEX('가격표'!$D$2:$K$501,MATCH(C166,'가격표'!$A$2:$A$501,0),MATCH(E166,'가격표'!$D$1:$K$1,0))),""))</f>
        <v/>
      </c>
      <c r="K166" s="4">
        <f>IF(C166="","",IFERROR(INDEX('판매구성'!$D$2:$D$501,MATCH(C166,'판매구성'!$A$2:$A$501,0)),""))</f>
        <v/>
      </c>
      <c r="L166" s="4">
        <f>IF(OR(J166="",K166=""),"",ROUND(J166-(J166-K166)*'설정'!$B$2,0))</f>
        <v/>
      </c>
      <c r="M166" s="4">
        <f>IF(OR(A166="",J166=""),"",ROUND(J166*N(IFERROR(INDEX('판매채널'!$F$2:$F$501,MATCH(A166,'판매채널'!$A$2:$A$501,0)),"")),0))</f>
        <v/>
      </c>
      <c r="N166" s="4">
        <f>IF(OR(J166="",K166=""),"",J166-M166-K166)</f>
        <v/>
      </c>
      <c r="O166" s="5">
        <f>IF(OR(J166="",J166=0),"",N166/J166)</f>
        <v/>
      </c>
    </row>
    <row r="167">
      <c r="B167" s="2">
        <f>IF(A167="","",IFERROR(INDEX('판매채널'!$B$2:$B$501,MATCH(A167,'판매채널'!$A$2:$A$501,0)),""))</f>
        <v/>
      </c>
      <c r="D167" s="2">
        <f>IF(C167="","",IFERROR(INDEX('판매구성'!$B$2:$B$501,MATCH(C167,'판매구성'!$A$2:$A$501,0)),""))</f>
        <v/>
      </c>
      <c r="G167" s="3" t="n"/>
      <c r="I167" s="2">
        <f>IF(C167="","",IFERROR(INDEX('판매구성'!$C$2:$C$501,MATCH(C167,'판매구성'!$A$2:$A$501,0)),""))</f>
        <v/>
      </c>
      <c r="J167" s="4">
        <f>IF(OR(C167="",E167=""),"",IFERROR(IF(INDEX('가격표'!$D$2:$K$501,MATCH(C167,'가격표'!$A$2:$A$501,0),MATCH(E167,'가격표'!$D$1:$K$1,0))="","",INDEX('가격표'!$D$2:$K$501,MATCH(C167,'가격표'!$A$2:$A$501,0),MATCH(E167,'가격표'!$D$1:$K$1,0))),""))</f>
        <v/>
      </c>
      <c r="K167" s="4">
        <f>IF(C167="","",IFERROR(INDEX('판매구성'!$D$2:$D$501,MATCH(C167,'판매구성'!$A$2:$A$501,0)),""))</f>
        <v/>
      </c>
      <c r="L167" s="4">
        <f>IF(OR(J167="",K167=""),"",ROUND(J167-(J167-K167)*'설정'!$B$2,0))</f>
        <v/>
      </c>
      <c r="M167" s="4">
        <f>IF(OR(A167="",J167=""),"",ROUND(J167*N(IFERROR(INDEX('판매채널'!$F$2:$F$501,MATCH(A167,'판매채널'!$A$2:$A$501,0)),"")),0))</f>
        <v/>
      </c>
      <c r="N167" s="4">
        <f>IF(OR(J167="",K167=""),"",J167-M167-K167)</f>
        <v/>
      </c>
      <c r="O167" s="5">
        <f>IF(OR(J167="",J167=0),"",N167/J167)</f>
        <v/>
      </c>
    </row>
    <row r="168">
      <c r="B168" s="2">
        <f>IF(A168="","",IFERROR(INDEX('판매채널'!$B$2:$B$501,MATCH(A168,'판매채널'!$A$2:$A$501,0)),""))</f>
        <v/>
      </c>
      <c r="D168" s="2">
        <f>IF(C168="","",IFERROR(INDEX('판매구성'!$B$2:$B$501,MATCH(C168,'판매구성'!$A$2:$A$501,0)),""))</f>
        <v/>
      </c>
      <c r="G168" s="3" t="n"/>
      <c r="I168" s="2">
        <f>IF(C168="","",IFERROR(INDEX('판매구성'!$C$2:$C$501,MATCH(C168,'판매구성'!$A$2:$A$501,0)),""))</f>
        <v/>
      </c>
      <c r="J168" s="4">
        <f>IF(OR(C168="",E168=""),"",IFERROR(IF(INDEX('가격표'!$D$2:$K$501,MATCH(C168,'가격표'!$A$2:$A$501,0),MATCH(E168,'가격표'!$D$1:$K$1,0))="","",INDEX('가격표'!$D$2:$K$501,MATCH(C168,'가격표'!$A$2:$A$501,0),MATCH(E168,'가격표'!$D$1:$K$1,0))),""))</f>
        <v/>
      </c>
      <c r="K168" s="4">
        <f>IF(C168="","",IFERROR(INDEX('판매구성'!$D$2:$D$501,MATCH(C168,'판매구성'!$A$2:$A$501,0)),""))</f>
        <v/>
      </c>
      <c r="L168" s="4">
        <f>IF(OR(J168="",K168=""),"",ROUND(J168-(J168-K168)*'설정'!$B$2,0))</f>
        <v/>
      </c>
      <c r="M168" s="4">
        <f>IF(OR(A168="",J168=""),"",ROUND(J168*N(IFERROR(INDEX('판매채널'!$F$2:$F$501,MATCH(A168,'판매채널'!$A$2:$A$501,0)),"")),0))</f>
        <v/>
      </c>
      <c r="N168" s="4">
        <f>IF(OR(J168="",K168=""),"",J168-M168-K168)</f>
        <v/>
      </c>
      <c r="O168" s="5">
        <f>IF(OR(J168="",J168=0),"",N168/J168)</f>
        <v/>
      </c>
    </row>
    <row r="169">
      <c r="B169" s="2">
        <f>IF(A169="","",IFERROR(INDEX('판매채널'!$B$2:$B$501,MATCH(A169,'판매채널'!$A$2:$A$501,0)),""))</f>
        <v/>
      </c>
      <c r="D169" s="2">
        <f>IF(C169="","",IFERROR(INDEX('판매구성'!$B$2:$B$501,MATCH(C169,'판매구성'!$A$2:$A$501,0)),""))</f>
        <v/>
      </c>
      <c r="G169" s="3" t="n"/>
      <c r="I169" s="2">
        <f>IF(C169="","",IFERROR(INDEX('판매구성'!$C$2:$C$501,MATCH(C169,'판매구성'!$A$2:$A$501,0)),""))</f>
        <v/>
      </c>
      <c r="J169" s="4">
        <f>IF(OR(C169="",E169=""),"",IFERROR(IF(INDEX('가격표'!$D$2:$K$501,MATCH(C169,'가격표'!$A$2:$A$501,0),MATCH(E169,'가격표'!$D$1:$K$1,0))="","",INDEX('가격표'!$D$2:$K$501,MATCH(C169,'가격표'!$A$2:$A$501,0),MATCH(E169,'가격표'!$D$1:$K$1,0))),""))</f>
        <v/>
      </c>
      <c r="K169" s="4">
        <f>IF(C169="","",IFERROR(INDEX('판매구성'!$D$2:$D$501,MATCH(C169,'판매구성'!$A$2:$A$501,0)),""))</f>
        <v/>
      </c>
      <c r="L169" s="4">
        <f>IF(OR(J169="",K169=""),"",ROUND(J169-(J169-K169)*'설정'!$B$2,0))</f>
        <v/>
      </c>
      <c r="M169" s="4">
        <f>IF(OR(A169="",J169=""),"",ROUND(J169*N(IFERROR(INDEX('판매채널'!$F$2:$F$501,MATCH(A169,'판매채널'!$A$2:$A$501,0)),"")),0))</f>
        <v/>
      </c>
      <c r="N169" s="4">
        <f>IF(OR(J169="",K169=""),"",J169-M169-K169)</f>
        <v/>
      </c>
      <c r="O169" s="5">
        <f>IF(OR(J169="",J169=0),"",N169/J169)</f>
        <v/>
      </c>
    </row>
    <row r="170">
      <c r="B170" s="2">
        <f>IF(A170="","",IFERROR(INDEX('판매채널'!$B$2:$B$501,MATCH(A170,'판매채널'!$A$2:$A$501,0)),""))</f>
        <v/>
      </c>
      <c r="D170" s="2">
        <f>IF(C170="","",IFERROR(INDEX('판매구성'!$B$2:$B$501,MATCH(C170,'판매구성'!$A$2:$A$501,0)),""))</f>
        <v/>
      </c>
      <c r="G170" s="3" t="n"/>
      <c r="I170" s="2">
        <f>IF(C170="","",IFERROR(INDEX('판매구성'!$C$2:$C$501,MATCH(C170,'판매구성'!$A$2:$A$501,0)),""))</f>
        <v/>
      </c>
      <c r="J170" s="4">
        <f>IF(OR(C170="",E170=""),"",IFERROR(IF(INDEX('가격표'!$D$2:$K$501,MATCH(C170,'가격표'!$A$2:$A$501,0),MATCH(E170,'가격표'!$D$1:$K$1,0))="","",INDEX('가격표'!$D$2:$K$501,MATCH(C170,'가격표'!$A$2:$A$501,0),MATCH(E170,'가격표'!$D$1:$K$1,0))),""))</f>
        <v/>
      </c>
      <c r="K170" s="4">
        <f>IF(C170="","",IFERROR(INDEX('판매구성'!$D$2:$D$501,MATCH(C170,'판매구성'!$A$2:$A$501,0)),""))</f>
        <v/>
      </c>
      <c r="L170" s="4">
        <f>IF(OR(J170="",K170=""),"",ROUND(J170-(J170-K170)*'설정'!$B$2,0))</f>
        <v/>
      </c>
      <c r="M170" s="4">
        <f>IF(OR(A170="",J170=""),"",ROUND(J170*N(IFERROR(INDEX('판매채널'!$F$2:$F$501,MATCH(A170,'판매채널'!$A$2:$A$501,0)),"")),0))</f>
        <v/>
      </c>
      <c r="N170" s="4">
        <f>IF(OR(J170="",K170=""),"",J170-M170-K170)</f>
        <v/>
      </c>
      <c r="O170" s="5">
        <f>IF(OR(J170="",J170=0),"",N170/J170)</f>
        <v/>
      </c>
    </row>
    <row r="171">
      <c r="B171" s="2">
        <f>IF(A171="","",IFERROR(INDEX('판매채널'!$B$2:$B$501,MATCH(A171,'판매채널'!$A$2:$A$501,0)),""))</f>
        <v/>
      </c>
      <c r="D171" s="2">
        <f>IF(C171="","",IFERROR(INDEX('판매구성'!$B$2:$B$501,MATCH(C171,'판매구성'!$A$2:$A$501,0)),""))</f>
        <v/>
      </c>
      <c r="G171" s="3" t="n"/>
      <c r="I171" s="2">
        <f>IF(C171="","",IFERROR(INDEX('판매구성'!$C$2:$C$501,MATCH(C171,'판매구성'!$A$2:$A$501,0)),""))</f>
        <v/>
      </c>
      <c r="J171" s="4">
        <f>IF(OR(C171="",E171=""),"",IFERROR(IF(INDEX('가격표'!$D$2:$K$501,MATCH(C171,'가격표'!$A$2:$A$501,0),MATCH(E171,'가격표'!$D$1:$K$1,0))="","",INDEX('가격표'!$D$2:$K$501,MATCH(C171,'가격표'!$A$2:$A$501,0),MATCH(E171,'가격표'!$D$1:$K$1,0))),""))</f>
        <v/>
      </c>
      <c r="K171" s="4">
        <f>IF(C171="","",IFERROR(INDEX('판매구성'!$D$2:$D$501,MATCH(C171,'판매구성'!$A$2:$A$501,0)),""))</f>
        <v/>
      </c>
      <c r="L171" s="4">
        <f>IF(OR(J171="",K171=""),"",ROUND(J171-(J171-K171)*'설정'!$B$2,0))</f>
        <v/>
      </c>
      <c r="M171" s="4">
        <f>IF(OR(A171="",J171=""),"",ROUND(J171*N(IFERROR(INDEX('판매채널'!$F$2:$F$501,MATCH(A171,'판매채널'!$A$2:$A$501,0)),"")),0))</f>
        <v/>
      </c>
      <c r="N171" s="4">
        <f>IF(OR(J171="",K171=""),"",J171-M171-K171)</f>
        <v/>
      </c>
      <c r="O171" s="5">
        <f>IF(OR(J171="",J171=0),"",N171/J171)</f>
        <v/>
      </c>
    </row>
    <row r="172">
      <c r="B172" s="2">
        <f>IF(A172="","",IFERROR(INDEX('판매채널'!$B$2:$B$501,MATCH(A172,'판매채널'!$A$2:$A$501,0)),""))</f>
        <v/>
      </c>
      <c r="D172" s="2">
        <f>IF(C172="","",IFERROR(INDEX('판매구성'!$B$2:$B$501,MATCH(C172,'판매구성'!$A$2:$A$501,0)),""))</f>
        <v/>
      </c>
      <c r="G172" s="3" t="n"/>
      <c r="I172" s="2">
        <f>IF(C172="","",IFERROR(INDEX('판매구성'!$C$2:$C$501,MATCH(C172,'판매구성'!$A$2:$A$501,0)),""))</f>
        <v/>
      </c>
      <c r="J172" s="4">
        <f>IF(OR(C172="",E172=""),"",IFERROR(IF(INDEX('가격표'!$D$2:$K$501,MATCH(C172,'가격표'!$A$2:$A$501,0),MATCH(E172,'가격표'!$D$1:$K$1,0))="","",INDEX('가격표'!$D$2:$K$501,MATCH(C172,'가격표'!$A$2:$A$501,0),MATCH(E172,'가격표'!$D$1:$K$1,0))),""))</f>
        <v/>
      </c>
      <c r="K172" s="4">
        <f>IF(C172="","",IFERROR(INDEX('판매구성'!$D$2:$D$501,MATCH(C172,'판매구성'!$A$2:$A$501,0)),""))</f>
        <v/>
      </c>
      <c r="L172" s="4">
        <f>IF(OR(J172="",K172=""),"",ROUND(J172-(J172-K172)*'설정'!$B$2,0))</f>
        <v/>
      </c>
      <c r="M172" s="4">
        <f>IF(OR(A172="",J172=""),"",ROUND(J172*N(IFERROR(INDEX('판매채널'!$F$2:$F$501,MATCH(A172,'판매채널'!$A$2:$A$501,0)),"")),0))</f>
        <v/>
      </c>
      <c r="N172" s="4">
        <f>IF(OR(J172="",K172=""),"",J172-M172-K172)</f>
        <v/>
      </c>
      <c r="O172" s="5">
        <f>IF(OR(J172="",J172=0),"",N172/J172)</f>
        <v/>
      </c>
    </row>
    <row r="173">
      <c r="B173" s="2">
        <f>IF(A173="","",IFERROR(INDEX('판매채널'!$B$2:$B$501,MATCH(A173,'판매채널'!$A$2:$A$501,0)),""))</f>
        <v/>
      </c>
      <c r="D173" s="2">
        <f>IF(C173="","",IFERROR(INDEX('판매구성'!$B$2:$B$501,MATCH(C173,'판매구성'!$A$2:$A$501,0)),""))</f>
        <v/>
      </c>
      <c r="G173" s="3" t="n"/>
      <c r="I173" s="2">
        <f>IF(C173="","",IFERROR(INDEX('판매구성'!$C$2:$C$501,MATCH(C173,'판매구성'!$A$2:$A$501,0)),""))</f>
        <v/>
      </c>
      <c r="J173" s="4">
        <f>IF(OR(C173="",E173=""),"",IFERROR(IF(INDEX('가격표'!$D$2:$K$501,MATCH(C173,'가격표'!$A$2:$A$501,0),MATCH(E173,'가격표'!$D$1:$K$1,0))="","",INDEX('가격표'!$D$2:$K$501,MATCH(C173,'가격표'!$A$2:$A$501,0),MATCH(E173,'가격표'!$D$1:$K$1,0))),""))</f>
        <v/>
      </c>
      <c r="K173" s="4">
        <f>IF(C173="","",IFERROR(INDEX('판매구성'!$D$2:$D$501,MATCH(C173,'판매구성'!$A$2:$A$501,0)),""))</f>
        <v/>
      </c>
      <c r="L173" s="4">
        <f>IF(OR(J173="",K173=""),"",ROUND(J173-(J173-K173)*'설정'!$B$2,0))</f>
        <v/>
      </c>
      <c r="M173" s="4">
        <f>IF(OR(A173="",J173=""),"",ROUND(J173*N(IFERROR(INDEX('판매채널'!$F$2:$F$501,MATCH(A173,'판매채널'!$A$2:$A$501,0)),"")),0))</f>
        <v/>
      </c>
      <c r="N173" s="4">
        <f>IF(OR(J173="",K173=""),"",J173-M173-K173)</f>
        <v/>
      </c>
      <c r="O173" s="5">
        <f>IF(OR(J173="",J173=0),"",N173/J173)</f>
        <v/>
      </c>
    </row>
    <row r="174">
      <c r="B174" s="2">
        <f>IF(A174="","",IFERROR(INDEX('판매채널'!$B$2:$B$501,MATCH(A174,'판매채널'!$A$2:$A$501,0)),""))</f>
        <v/>
      </c>
      <c r="D174" s="2">
        <f>IF(C174="","",IFERROR(INDEX('판매구성'!$B$2:$B$501,MATCH(C174,'판매구성'!$A$2:$A$501,0)),""))</f>
        <v/>
      </c>
      <c r="G174" s="3" t="n"/>
      <c r="I174" s="2">
        <f>IF(C174="","",IFERROR(INDEX('판매구성'!$C$2:$C$501,MATCH(C174,'판매구성'!$A$2:$A$501,0)),""))</f>
        <v/>
      </c>
      <c r="J174" s="4">
        <f>IF(OR(C174="",E174=""),"",IFERROR(IF(INDEX('가격표'!$D$2:$K$501,MATCH(C174,'가격표'!$A$2:$A$501,0),MATCH(E174,'가격표'!$D$1:$K$1,0))="","",INDEX('가격표'!$D$2:$K$501,MATCH(C174,'가격표'!$A$2:$A$501,0),MATCH(E174,'가격표'!$D$1:$K$1,0))),""))</f>
        <v/>
      </c>
      <c r="K174" s="4">
        <f>IF(C174="","",IFERROR(INDEX('판매구성'!$D$2:$D$501,MATCH(C174,'판매구성'!$A$2:$A$501,0)),""))</f>
        <v/>
      </c>
      <c r="L174" s="4">
        <f>IF(OR(J174="",K174=""),"",ROUND(J174-(J174-K174)*'설정'!$B$2,0))</f>
        <v/>
      </c>
      <c r="M174" s="4">
        <f>IF(OR(A174="",J174=""),"",ROUND(J174*N(IFERROR(INDEX('판매채널'!$F$2:$F$501,MATCH(A174,'판매채널'!$A$2:$A$501,0)),"")),0))</f>
        <v/>
      </c>
      <c r="N174" s="4">
        <f>IF(OR(J174="",K174=""),"",J174-M174-K174)</f>
        <v/>
      </c>
      <c r="O174" s="5">
        <f>IF(OR(J174="",J174=0),"",N174/J174)</f>
        <v/>
      </c>
    </row>
    <row r="175">
      <c r="B175" s="2">
        <f>IF(A175="","",IFERROR(INDEX('판매채널'!$B$2:$B$501,MATCH(A175,'판매채널'!$A$2:$A$501,0)),""))</f>
        <v/>
      </c>
      <c r="D175" s="2">
        <f>IF(C175="","",IFERROR(INDEX('판매구성'!$B$2:$B$501,MATCH(C175,'판매구성'!$A$2:$A$501,0)),""))</f>
        <v/>
      </c>
      <c r="G175" s="3" t="n"/>
      <c r="I175" s="2">
        <f>IF(C175="","",IFERROR(INDEX('판매구성'!$C$2:$C$501,MATCH(C175,'판매구성'!$A$2:$A$501,0)),""))</f>
        <v/>
      </c>
      <c r="J175" s="4">
        <f>IF(OR(C175="",E175=""),"",IFERROR(IF(INDEX('가격표'!$D$2:$K$501,MATCH(C175,'가격표'!$A$2:$A$501,0),MATCH(E175,'가격표'!$D$1:$K$1,0))="","",INDEX('가격표'!$D$2:$K$501,MATCH(C175,'가격표'!$A$2:$A$501,0),MATCH(E175,'가격표'!$D$1:$K$1,0))),""))</f>
        <v/>
      </c>
      <c r="K175" s="4">
        <f>IF(C175="","",IFERROR(INDEX('판매구성'!$D$2:$D$501,MATCH(C175,'판매구성'!$A$2:$A$501,0)),""))</f>
        <v/>
      </c>
      <c r="L175" s="4">
        <f>IF(OR(J175="",K175=""),"",ROUND(J175-(J175-K175)*'설정'!$B$2,0))</f>
        <v/>
      </c>
      <c r="M175" s="4">
        <f>IF(OR(A175="",J175=""),"",ROUND(J175*N(IFERROR(INDEX('판매채널'!$F$2:$F$501,MATCH(A175,'판매채널'!$A$2:$A$501,0)),"")),0))</f>
        <v/>
      </c>
      <c r="N175" s="4">
        <f>IF(OR(J175="",K175=""),"",J175-M175-K175)</f>
        <v/>
      </c>
      <c r="O175" s="5">
        <f>IF(OR(J175="",J175=0),"",N175/J175)</f>
        <v/>
      </c>
    </row>
    <row r="176">
      <c r="B176" s="2">
        <f>IF(A176="","",IFERROR(INDEX('판매채널'!$B$2:$B$501,MATCH(A176,'판매채널'!$A$2:$A$501,0)),""))</f>
        <v/>
      </c>
      <c r="D176" s="2">
        <f>IF(C176="","",IFERROR(INDEX('판매구성'!$B$2:$B$501,MATCH(C176,'판매구성'!$A$2:$A$501,0)),""))</f>
        <v/>
      </c>
      <c r="G176" s="3" t="n"/>
      <c r="I176" s="2">
        <f>IF(C176="","",IFERROR(INDEX('판매구성'!$C$2:$C$501,MATCH(C176,'판매구성'!$A$2:$A$501,0)),""))</f>
        <v/>
      </c>
      <c r="J176" s="4">
        <f>IF(OR(C176="",E176=""),"",IFERROR(IF(INDEX('가격표'!$D$2:$K$501,MATCH(C176,'가격표'!$A$2:$A$501,0),MATCH(E176,'가격표'!$D$1:$K$1,0))="","",INDEX('가격표'!$D$2:$K$501,MATCH(C176,'가격표'!$A$2:$A$501,0),MATCH(E176,'가격표'!$D$1:$K$1,0))),""))</f>
        <v/>
      </c>
      <c r="K176" s="4">
        <f>IF(C176="","",IFERROR(INDEX('판매구성'!$D$2:$D$501,MATCH(C176,'판매구성'!$A$2:$A$501,0)),""))</f>
        <v/>
      </c>
      <c r="L176" s="4">
        <f>IF(OR(J176="",K176=""),"",ROUND(J176-(J176-K176)*'설정'!$B$2,0))</f>
        <v/>
      </c>
      <c r="M176" s="4">
        <f>IF(OR(A176="",J176=""),"",ROUND(J176*N(IFERROR(INDEX('판매채널'!$F$2:$F$501,MATCH(A176,'판매채널'!$A$2:$A$501,0)),"")),0))</f>
        <v/>
      </c>
      <c r="N176" s="4">
        <f>IF(OR(J176="",K176=""),"",J176-M176-K176)</f>
        <v/>
      </c>
      <c r="O176" s="5">
        <f>IF(OR(J176="",J176=0),"",N176/J176)</f>
        <v/>
      </c>
    </row>
    <row r="177">
      <c r="B177" s="2">
        <f>IF(A177="","",IFERROR(INDEX('판매채널'!$B$2:$B$501,MATCH(A177,'판매채널'!$A$2:$A$501,0)),""))</f>
        <v/>
      </c>
      <c r="D177" s="2">
        <f>IF(C177="","",IFERROR(INDEX('판매구성'!$B$2:$B$501,MATCH(C177,'판매구성'!$A$2:$A$501,0)),""))</f>
        <v/>
      </c>
      <c r="G177" s="3" t="n"/>
      <c r="I177" s="2">
        <f>IF(C177="","",IFERROR(INDEX('판매구성'!$C$2:$C$501,MATCH(C177,'판매구성'!$A$2:$A$501,0)),""))</f>
        <v/>
      </c>
      <c r="J177" s="4">
        <f>IF(OR(C177="",E177=""),"",IFERROR(IF(INDEX('가격표'!$D$2:$K$501,MATCH(C177,'가격표'!$A$2:$A$501,0),MATCH(E177,'가격표'!$D$1:$K$1,0))="","",INDEX('가격표'!$D$2:$K$501,MATCH(C177,'가격표'!$A$2:$A$501,0),MATCH(E177,'가격표'!$D$1:$K$1,0))),""))</f>
        <v/>
      </c>
      <c r="K177" s="4">
        <f>IF(C177="","",IFERROR(INDEX('판매구성'!$D$2:$D$501,MATCH(C177,'판매구성'!$A$2:$A$501,0)),""))</f>
        <v/>
      </c>
      <c r="L177" s="4">
        <f>IF(OR(J177="",K177=""),"",ROUND(J177-(J177-K177)*'설정'!$B$2,0))</f>
        <v/>
      </c>
      <c r="M177" s="4">
        <f>IF(OR(A177="",J177=""),"",ROUND(J177*N(IFERROR(INDEX('판매채널'!$F$2:$F$501,MATCH(A177,'판매채널'!$A$2:$A$501,0)),"")),0))</f>
        <v/>
      </c>
      <c r="N177" s="4">
        <f>IF(OR(J177="",K177=""),"",J177-M177-K177)</f>
        <v/>
      </c>
      <c r="O177" s="5">
        <f>IF(OR(J177="",J177=0),"",N177/J177)</f>
        <v/>
      </c>
    </row>
    <row r="178">
      <c r="B178" s="2">
        <f>IF(A178="","",IFERROR(INDEX('판매채널'!$B$2:$B$501,MATCH(A178,'판매채널'!$A$2:$A$501,0)),""))</f>
        <v/>
      </c>
      <c r="D178" s="2">
        <f>IF(C178="","",IFERROR(INDEX('판매구성'!$B$2:$B$501,MATCH(C178,'판매구성'!$A$2:$A$501,0)),""))</f>
        <v/>
      </c>
      <c r="G178" s="3" t="n"/>
      <c r="I178" s="2">
        <f>IF(C178="","",IFERROR(INDEX('판매구성'!$C$2:$C$501,MATCH(C178,'판매구성'!$A$2:$A$501,0)),""))</f>
        <v/>
      </c>
      <c r="J178" s="4">
        <f>IF(OR(C178="",E178=""),"",IFERROR(IF(INDEX('가격표'!$D$2:$K$501,MATCH(C178,'가격표'!$A$2:$A$501,0),MATCH(E178,'가격표'!$D$1:$K$1,0))="","",INDEX('가격표'!$D$2:$K$501,MATCH(C178,'가격표'!$A$2:$A$501,0),MATCH(E178,'가격표'!$D$1:$K$1,0))),""))</f>
        <v/>
      </c>
      <c r="K178" s="4">
        <f>IF(C178="","",IFERROR(INDEX('판매구성'!$D$2:$D$501,MATCH(C178,'판매구성'!$A$2:$A$501,0)),""))</f>
        <v/>
      </c>
      <c r="L178" s="4">
        <f>IF(OR(J178="",K178=""),"",ROUND(J178-(J178-K178)*'설정'!$B$2,0))</f>
        <v/>
      </c>
      <c r="M178" s="4">
        <f>IF(OR(A178="",J178=""),"",ROUND(J178*N(IFERROR(INDEX('판매채널'!$F$2:$F$501,MATCH(A178,'판매채널'!$A$2:$A$501,0)),"")),0))</f>
        <v/>
      </c>
      <c r="N178" s="4">
        <f>IF(OR(J178="",K178=""),"",J178-M178-K178)</f>
        <v/>
      </c>
      <c r="O178" s="5">
        <f>IF(OR(J178="",J178=0),"",N178/J178)</f>
        <v/>
      </c>
    </row>
    <row r="179">
      <c r="B179" s="2">
        <f>IF(A179="","",IFERROR(INDEX('판매채널'!$B$2:$B$501,MATCH(A179,'판매채널'!$A$2:$A$501,0)),""))</f>
        <v/>
      </c>
      <c r="D179" s="2">
        <f>IF(C179="","",IFERROR(INDEX('판매구성'!$B$2:$B$501,MATCH(C179,'판매구성'!$A$2:$A$501,0)),""))</f>
        <v/>
      </c>
      <c r="G179" s="3" t="n"/>
      <c r="I179" s="2">
        <f>IF(C179="","",IFERROR(INDEX('판매구성'!$C$2:$C$501,MATCH(C179,'판매구성'!$A$2:$A$501,0)),""))</f>
        <v/>
      </c>
      <c r="J179" s="4">
        <f>IF(OR(C179="",E179=""),"",IFERROR(IF(INDEX('가격표'!$D$2:$K$501,MATCH(C179,'가격표'!$A$2:$A$501,0),MATCH(E179,'가격표'!$D$1:$K$1,0))="","",INDEX('가격표'!$D$2:$K$501,MATCH(C179,'가격표'!$A$2:$A$501,0),MATCH(E179,'가격표'!$D$1:$K$1,0))),""))</f>
        <v/>
      </c>
      <c r="K179" s="4">
        <f>IF(C179="","",IFERROR(INDEX('판매구성'!$D$2:$D$501,MATCH(C179,'판매구성'!$A$2:$A$501,0)),""))</f>
        <v/>
      </c>
      <c r="L179" s="4">
        <f>IF(OR(J179="",K179=""),"",ROUND(J179-(J179-K179)*'설정'!$B$2,0))</f>
        <v/>
      </c>
      <c r="M179" s="4">
        <f>IF(OR(A179="",J179=""),"",ROUND(J179*N(IFERROR(INDEX('판매채널'!$F$2:$F$501,MATCH(A179,'판매채널'!$A$2:$A$501,0)),"")),0))</f>
        <v/>
      </c>
      <c r="N179" s="4">
        <f>IF(OR(J179="",K179=""),"",J179-M179-K179)</f>
        <v/>
      </c>
      <c r="O179" s="5">
        <f>IF(OR(J179="",J179=0),"",N179/J179)</f>
        <v/>
      </c>
    </row>
    <row r="180">
      <c r="B180" s="2">
        <f>IF(A180="","",IFERROR(INDEX('판매채널'!$B$2:$B$501,MATCH(A180,'판매채널'!$A$2:$A$501,0)),""))</f>
        <v/>
      </c>
      <c r="D180" s="2">
        <f>IF(C180="","",IFERROR(INDEX('판매구성'!$B$2:$B$501,MATCH(C180,'판매구성'!$A$2:$A$501,0)),""))</f>
        <v/>
      </c>
      <c r="G180" s="3" t="n"/>
      <c r="I180" s="2">
        <f>IF(C180="","",IFERROR(INDEX('판매구성'!$C$2:$C$501,MATCH(C180,'판매구성'!$A$2:$A$501,0)),""))</f>
        <v/>
      </c>
      <c r="J180" s="4">
        <f>IF(OR(C180="",E180=""),"",IFERROR(IF(INDEX('가격표'!$D$2:$K$501,MATCH(C180,'가격표'!$A$2:$A$501,0),MATCH(E180,'가격표'!$D$1:$K$1,0))="","",INDEX('가격표'!$D$2:$K$501,MATCH(C180,'가격표'!$A$2:$A$501,0),MATCH(E180,'가격표'!$D$1:$K$1,0))),""))</f>
        <v/>
      </c>
      <c r="K180" s="4">
        <f>IF(C180="","",IFERROR(INDEX('판매구성'!$D$2:$D$501,MATCH(C180,'판매구성'!$A$2:$A$501,0)),""))</f>
        <v/>
      </c>
      <c r="L180" s="4">
        <f>IF(OR(J180="",K180=""),"",ROUND(J180-(J180-K180)*'설정'!$B$2,0))</f>
        <v/>
      </c>
      <c r="M180" s="4">
        <f>IF(OR(A180="",J180=""),"",ROUND(J180*N(IFERROR(INDEX('판매채널'!$F$2:$F$501,MATCH(A180,'판매채널'!$A$2:$A$501,0)),"")),0))</f>
        <v/>
      </c>
      <c r="N180" s="4">
        <f>IF(OR(J180="",K180=""),"",J180-M180-K180)</f>
        <v/>
      </c>
      <c r="O180" s="5">
        <f>IF(OR(J180="",J180=0),"",N180/J180)</f>
        <v/>
      </c>
    </row>
    <row r="181">
      <c r="B181" s="2">
        <f>IF(A181="","",IFERROR(INDEX('판매채널'!$B$2:$B$501,MATCH(A181,'판매채널'!$A$2:$A$501,0)),""))</f>
        <v/>
      </c>
      <c r="D181" s="2">
        <f>IF(C181="","",IFERROR(INDEX('판매구성'!$B$2:$B$501,MATCH(C181,'판매구성'!$A$2:$A$501,0)),""))</f>
        <v/>
      </c>
      <c r="G181" s="3" t="n"/>
      <c r="I181" s="2">
        <f>IF(C181="","",IFERROR(INDEX('판매구성'!$C$2:$C$501,MATCH(C181,'판매구성'!$A$2:$A$501,0)),""))</f>
        <v/>
      </c>
      <c r="J181" s="4">
        <f>IF(OR(C181="",E181=""),"",IFERROR(IF(INDEX('가격표'!$D$2:$K$501,MATCH(C181,'가격표'!$A$2:$A$501,0),MATCH(E181,'가격표'!$D$1:$K$1,0))="","",INDEX('가격표'!$D$2:$K$501,MATCH(C181,'가격표'!$A$2:$A$501,0),MATCH(E181,'가격표'!$D$1:$K$1,0))),""))</f>
        <v/>
      </c>
      <c r="K181" s="4">
        <f>IF(C181="","",IFERROR(INDEX('판매구성'!$D$2:$D$501,MATCH(C181,'판매구성'!$A$2:$A$501,0)),""))</f>
        <v/>
      </c>
      <c r="L181" s="4">
        <f>IF(OR(J181="",K181=""),"",ROUND(J181-(J181-K181)*'설정'!$B$2,0))</f>
        <v/>
      </c>
      <c r="M181" s="4">
        <f>IF(OR(A181="",J181=""),"",ROUND(J181*N(IFERROR(INDEX('판매채널'!$F$2:$F$501,MATCH(A181,'판매채널'!$A$2:$A$501,0)),"")),0))</f>
        <v/>
      </c>
      <c r="N181" s="4">
        <f>IF(OR(J181="",K181=""),"",J181-M181-K181)</f>
        <v/>
      </c>
      <c r="O181" s="5">
        <f>IF(OR(J181="",J181=0),"",N181/J181)</f>
        <v/>
      </c>
    </row>
    <row r="182">
      <c r="B182" s="2">
        <f>IF(A182="","",IFERROR(INDEX('판매채널'!$B$2:$B$501,MATCH(A182,'판매채널'!$A$2:$A$501,0)),""))</f>
        <v/>
      </c>
      <c r="D182" s="2">
        <f>IF(C182="","",IFERROR(INDEX('판매구성'!$B$2:$B$501,MATCH(C182,'판매구성'!$A$2:$A$501,0)),""))</f>
        <v/>
      </c>
      <c r="G182" s="3" t="n"/>
      <c r="I182" s="2">
        <f>IF(C182="","",IFERROR(INDEX('판매구성'!$C$2:$C$501,MATCH(C182,'판매구성'!$A$2:$A$501,0)),""))</f>
        <v/>
      </c>
      <c r="J182" s="4">
        <f>IF(OR(C182="",E182=""),"",IFERROR(IF(INDEX('가격표'!$D$2:$K$501,MATCH(C182,'가격표'!$A$2:$A$501,0),MATCH(E182,'가격표'!$D$1:$K$1,0))="","",INDEX('가격표'!$D$2:$K$501,MATCH(C182,'가격표'!$A$2:$A$501,0),MATCH(E182,'가격표'!$D$1:$K$1,0))),""))</f>
        <v/>
      </c>
      <c r="K182" s="4">
        <f>IF(C182="","",IFERROR(INDEX('판매구성'!$D$2:$D$501,MATCH(C182,'판매구성'!$A$2:$A$501,0)),""))</f>
        <v/>
      </c>
      <c r="L182" s="4">
        <f>IF(OR(J182="",K182=""),"",ROUND(J182-(J182-K182)*'설정'!$B$2,0))</f>
        <v/>
      </c>
      <c r="M182" s="4">
        <f>IF(OR(A182="",J182=""),"",ROUND(J182*N(IFERROR(INDEX('판매채널'!$F$2:$F$501,MATCH(A182,'판매채널'!$A$2:$A$501,0)),"")),0))</f>
        <v/>
      </c>
      <c r="N182" s="4">
        <f>IF(OR(J182="",K182=""),"",J182-M182-K182)</f>
        <v/>
      </c>
      <c r="O182" s="5">
        <f>IF(OR(J182="",J182=0),"",N182/J182)</f>
        <v/>
      </c>
    </row>
    <row r="183">
      <c r="B183" s="2">
        <f>IF(A183="","",IFERROR(INDEX('판매채널'!$B$2:$B$501,MATCH(A183,'판매채널'!$A$2:$A$501,0)),""))</f>
        <v/>
      </c>
      <c r="D183" s="2">
        <f>IF(C183="","",IFERROR(INDEX('판매구성'!$B$2:$B$501,MATCH(C183,'판매구성'!$A$2:$A$501,0)),""))</f>
        <v/>
      </c>
      <c r="G183" s="3" t="n"/>
      <c r="I183" s="2">
        <f>IF(C183="","",IFERROR(INDEX('판매구성'!$C$2:$C$501,MATCH(C183,'판매구성'!$A$2:$A$501,0)),""))</f>
        <v/>
      </c>
      <c r="J183" s="4">
        <f>IF(OR(C183="",E183=""),"",IFERROR(IF(INDEX('가격표'!$D$2:$K$501,MATCH(C183,'가격표'!$A$2:$A$501,0),MATCH(E183,'가격표'!$D$1:$K$1,0))="","",INDEX('가격표'!$D$2:$K$501,MATCH(C183,'가격표'!$A$2:$A$501,0),MATCH(E183,'가격표'!$D$1:$K$1,0))),""))</f>
        <v/>
      </c>
      <c r="K183" s="4">
        <f>IF(C183="","",IFERROR(INDEX('판매구성'!$D$2:$D$501,MATCH(C183,'판매구성'!$A$2:$A$501,0)),""))</f>
        <v/>
      </c>
      <c r="L183" s="4">
        <f>IF(OR(J183="",K183=""),"",ROUND(J183-(J183-K183)*'설정'!$B$2,0))</f>
        <v/>
      </c>
      <c r="M183" s="4">
        <f>IF(OR(A183="",J183=""),"",ROUND(J183*N(IFERROR(INDEX('판매채널'!$F$2:$F$501,MATCH(A183,'판매채널'!$A$2:$A$501,0)),"")),0))</f>
        <v/>
      </c>
      <c r="N183" s="4">
        <f>IF(OR(J183="",K183=""),"",J183-M183-K183)</f>
        <v/>
      </c>
      <c r="O183" s="5">
        <f>IF(OR(J183="",J183=0),"",N183/J183)</f>
        <v/>
      </c>
    </row>
    <row r="184">
      <c r="B184" s="2">
        <f>IF(A184="","",IFERROR(INDEX('판매채널'!$B$2:$B$501,MATCH(A184,'판매채널'!$A$2:$A$501,0)),""))</f>
        <v/>
      </c>
      <c r="D184" s="2">
        <f>IF(C184="","",IFERROR(INDEX('판매구성'!$B$2:$B$501,MATCH(C184,'판매구성'!$A$2:$A$501,0)),""))</f>
        <v/>
      </c>
      <c r="G184" s="3" t="n"/>
      <c r="I184" s="2">
        <f>IF(C184="","",IFERROR(INDEX('판매구성'!$C$2:$C$501,MATCH(C184,'판매구성'!$A$2:$A$501,0)),""))</f>
        <v/>
      </c>
      <c r="J184" s="4">
        <f>IF(OR(C184="",E184=""),"",IFERROR(IF(INDEX('가격표'!$D$2:$K$501,MATCH(C184,'가격표'!$A$2:$A$501,0),MATCH(E184,'가격표'!$D$1:$K$1,0))="","",INDEX('가격표'!$D$2:$K$501,MATCH(C184,'가격표'!$A$2:$A$501,0),MATCH(E184,'가격표'!$D$1:$K$1,0))),""))</f>
        <v/>
      </c>
      <c r="K184" s="4">
        <f>IF(C184="","",IFERROR(INDEX('판매구성'!$D$2:$D$501,MATCH(C184,'판매구성'!$A$2:$A$501,0)),""))</f>
        <v/>
      </c>
      <c r="L184" s="4">
        <f>IF(OR(J184="",K184=""),"",ROUND(J184-(J184-K184)*'설정'!$B$2,0))</f>
        <v/>
      </c>
      <c r="M184" s="4">
        <f>IF(OR(A184="",J184=""),"",ROUND(J184*N(IFERROR(INDEX('판매채널'!$F$2:$F$501,MATCH(A184,'판매채널'!$A$2:$A$501,0)),"")),0))</f>
        <v/>
      </c>
      <c r="N184" s="4">
        <f>IF(OR(J184="",K184=""),"",J184-M184-K184)</f>
        <v/>
      </c>
      <c r="O184" s="5">
        <f>IF(OR(J184="",J184=0),"",N184/J184)</f>
        <v/>
      </c>
    </row>
    <row r="185">
      <c r="B185" s="2">
        <f>IF(A185="","",IFERROR(INDEX('판매채널'!$B$2:$B$501,MATCH(A185,'판매채널'!$A$2:$A$501,0)),""))</f>
        <v/>
      </c>
      <c r="D185" s="2">
        <f>IF(C185="","",IFERROR(INDEX('판매구성'!$B$2:$B$501,MATCH(C185,'판매구성'!$A$2:$A$501,0)),""))</f>
        <v/>
      </c>
      <c r="G185" s="3" t="n"/>
      <c r="I185" s="2">
        <f>IF(C185="","",IFERROR(INDEX('판매구성'!$C$2:$C$501,MATCH(C185,'판매구성'!$A$2:$A$501,0)),""))</f>
        <v/>
      </c>
      <c r="J185" s="4">
        <f>IF(OR(C185="",E185=""),"",IFERROR(IF(INDEX('가격표'!$D$2:$K$501,MATCH(C185,'가격표'!$A$2:$A$501,0),MATCH(E185,'가격표'!$D$1:$K$1,0))="","",INDEX('가격표'!$D$2:$K$501,MATCH(C185,'가격표'!$A$2:$A$501,0),MATCH(E185,'가격표'!$D$1:$K$1,0))),""))</f>
        <v/>
      </c>
      <c r="K185" s="4">
        <f>IF(C185="","",IFERROR(INDEX('판매구성'!$D$2:$D$501,MATCH(C185,'판매구성'!$A$2:$A$501,0)),""))</f>
        <v/>
      </c>
      <c r="L185" s="4">
        <f>IF(OR(J185="",K185=""),"",ROUND(J185-(J185-K185)*'설정'!$B$2,0))</f>
        <v/>
      </c>
      <c r="M185" s="4">
        <f>IF(OR(A185="",J185=""),"",ROUND(J185*N(IFERROR(INDEX('판매채널'!$F$2:$F$501,MATCH(A185,'판매채널'!$A$2:$A$501,0)),"")),0))</f>
        <v/>
      </c>
      <c r="N185" s="4">
        <f>IF(OR(J185="",K185=""),"",J185-M185-K185)</f>
        <v/>
      </c>
      <c r="O185" s="5">
        <f>IF(OR(J185="",J185=0),"",N185/J185)</f>
        <v/>
      </c>
    </row>
    <row r="186">
      <c r="B186" s="2">
        <f>IF(A186="","",IFERROR(INDEX('판매채널'!$B$2:$B$501,MATCH(A186,'판매채널'!$A$2:$A$501,0)),""))</f>
        <v/>
      </c>
      <c r="D186" s="2">
        <f>IF(C186="","",IFERROR(INDEX('판매구성'!$B$2:$B$501,MATCH(C186,'판매구성'!$A$2:$A$501,0)),""))</f>
        <v/>
      </c>
      <c r="G186" s="3" t="n"/>
      <c r="I186" s="2">
        <f>IF(C186="","",IFERROR(INDEX('판매구성'!$C$2:$C$501,MATCH(C186,'판매구성'!$A$2:$A$501,0)),""))</f>
        <v/>
      </c>
      <c r="J186" s="4">
        <f>IF(OR(C186="",E186=""),"",IFERROR(IF(INDEX('가격표'!$D$2:$K$501,MATCH(C186,'가격표'!$A$2:$A$501,0),MATCH(E186,'가격표'!$D$1:$K$1,0))="","",INDEX('가격표'!$D$2:$K$501,MATCH(C186,'가격표'!$A$2:$A$501,0),MATCH(E186,'가격표'!$D$1:$K$1,0))),""))</f>
        <v/>
      </c>
      <c r="K186" s="4">
        <f>IF(C186="","",IFERROR(INDEX('판매구성'!$D$2:$D$501,MATCH(C186,'판매구성'!$A$2:$A$501,0)),""))</f>
        <v/>
      </c>
      <c r="L186" s="4">
        <f>IF(OR(J186="",K186=""),"",ROUND(J186-(J186-K186)*'설정'!$B$2,0))</f>
        <v/>
      </c>
      <c r="M186" s="4">
        <f>IF(OR(A186="",J186=""),"",ROUND(J186*N(IFERROR(INDEX('판매채널'!$F$2:$F$501,MATCH(A186,'판매채널'!$A$2:$A$501,0)),"")),0))</f>
        <v/>
      </c>
      <c r="N186" s="4">
        <f>IF(OR(J186="",K186=""),"",J186-M186-K186)</f>
        <v/>
      </c>
      <c r="O186" s="5">
        <f>IF(OR(J186="",J186=0),"",N186/J186)</f>
        <v/>
      </c>
    </row>
    <row r="187">
      <c r="B187" s="2">
        <f>IF(A187="","",IFERROR(INDEX('판매채널'!$B$2:$B$501,MATCH(A187,'판매채널'!$A$2:$A$501,0)),""))</f>
        <v/>
      </c>
      <c r="D187" s="2">
        <f>IF(C187="","",IFERROR(INDEX('판매구성'!$B$2:$B$501,MATCH(C187,'판매구성'!$A$2:$A$501,0)),""))</f>
        <v/>
      </c>
      <c r="G187" s="3" t="n"/>
      <c r="I187" s="2">
        <f>IF(C187="","",IFERROR(INDEX('판매구성'!$C$2:$C$501,MATCH(C187,'판매구성'!$A$2:$A$501,0)),""))</f>
        <v/>
      </c>
      <c r="J187" s="4">
        <f>IF(OR(C187="",E187=""),"",IFERROR(IF(INDEX('가격표'!$D$2:$K$501,MATCH(C187,'가격표'!$A$2:$A$501,0),MATCH(E187,'가격표'!$D$1:$K$1,0))="","",INDEX('가격표'!$D$2:$K$501,MATCH(C187,'가격표'!$A$2:$A$501,0),MATCH(E187,'가격표'!$D$1:$K$1,0))),""))</f>
        <v/>
      </c>
      <c r="K187" s="4">
        <f>IF(C187="","",IFERROR(INDEX('판매구성'!$D$2:$D$501,MATCH(C187,'판매구성'!$A$2:$A$501,0)),""))</f>
        <v/>
      </c>
      <c r="L187" s="4">
        <f>IF(OR(J187="",K187=""),"",ROUND(J187-(J187-K187)*'설정'!$B$2,0))</f>
        <v/>
      </c>
      <c r="M187" s="4">
        <f>IF(OR(A187="",J187=""),"",ROUND(J187*N(IFERROR(INDEX('판매채널'!$F$2:$F$501,MATCH(A187,'판매채널'!$A$2:$A$501,0)),"")),0))</f>
        <v/>
      </c>
      <c r="N187" s="4">
        <f>IF(OR(J187="",K187=""),"",J187-M187-K187)</f>
        <v/>
      </c>
      <c r="O187" s="5">
        <f>IF(OR(J187="",J187=0),"",N187/J187)</f>
        <v/>
      </c>
    </row>
    <row r="188">
      <c r="B188" s="2">
        <f>IF(A188="","",IFERROR(INDEX('판매채널'!$B$2:$B$501,MATCH(A188,'판매채널'!$A$2:$A$501,0)),""))</f>
        <v/>
      </c>
      <c r="D188" s="2">
        <f>IF(C188="","",IFERROR(INDEX('판매구성'!$B$2:$B$501,MATCH(C188,'판매구성'!$A$2:$A$501,0)),""))</f>
        <v/>
      </c>
      <c r="G188" s="3" t="n"/>
      <c r="I188" s="2">
        <f>IF(C188="","",IFERROR(INDEX('판매구성'!$C$2:$C$501,MATCH(C188,'판매구성'!$A$2:$A$501,0)),""))</f>
        <v/>
      </c>
      <c r="J188" s="4">
        <f>IF(OR(C188="",E188=""),"",IFERROR(IF(INDEX('가격표'!$D$2:$K$501,MATCH(C188,'가격표'!$A$2:$A$501,0),MATCH(E188,'가격표'!$D$1:$K$1,0))="","",INDEX('가격표'!$D$2:$K$501,MATCH(C188,'가격표'!$A$2:$A$501,0),MATCH(E188,'가격표'!$D$1:$K$1,0))),""))</f>
        <v/>
      </c>
      <c r="K188" s="4">
        <f>IF(C188="","",IFERROR(INDEX('판매구성'!$D$2:$D$501,MATCH(C188,'판매구성'!$A$2:$A$501,0)),""))</f>
        <v/>
      </c>
      <c r="L188" s="4">
        <f>IF(OR(J188="",K188=""),"",ROUND(J188-(J188-K188)*'설정'!$B$2,0))</f>
        <v/>
      </c>
      <c r="M188" s="4">
        <f>IF(OR(A188="",J188=""),"",ROUND(J188*N(IFERROR(INDEX('판매채널'!$F$2:$F$501,MATCH(A188,'판매채널'!$A$2:$A$501,0)),"")),0))</f>
        <v/>
      </c>
      <c r="N188" s="4">
        <f>IF(OR(J188="",K188=""),"",J188-M188-K188)</f>
        <v/>
      </c>
      <c r="O188" s="5">
        <f>IF(OR(J188="",J188=0),"",N188/J188)</f>
        <v/>
      </c>
    </row>
    <row r="189">
      <c r="B189" s="2">
        <f>IF(A189="","",IFERROR(INDEX('판매채널'!$B$2:$B$501,MATCH(A189,'판매채널'!$A$2:$A$501,0)),""))</f>
        <v/>
      </c>
      <c r="D189" s="2">
        <f>IF(C189="","",IFERROR(INDEX('판매구성'!$B$2:$B$501,MATCH(C189,'판매구성'!$A$2:$A$501,0)),""))</f>
        <v/>
      </c>
      <c r="G189" s="3" t="n"/>
      <c r="I189" s="2">
        <f>IF(C189="","",IFERROR(INDEX('판매구성'!$C$2:$C$501,MATCH(C189,'판매구성'!$A$2:$A$501,0)),""))</f>
        <v/>
      </c>
      <c r="J189" s="4">
        <f>IF(OR(C189="",E189=""),"",IFERROR(IF(INDEX('가격표'!$D$2:$K$501,MATCH(C189,'가격표'!$A$2:$A$501,0),MATCH(E189,'가격표'!$D$1:$K$1,0))="","",INDEX('가격표'!$D$2:$K$501,MATCH(C189,'가격표'!$A$2:$A$501,0),MATCH(E189,'가격표'!$D$1:$K$1,0))),""))</f>
        <v/>
      </c>
      <c r="K189" s="4">
        <f>IF(C189="","",IFERROR(INDEX('판매구성'!$D$2:$D$501,MATCH(C189,'판매구성'!$A$2:$A$501,0)),""))</f>
        <v/>
      </c>
      <c r="L189" s="4">
        <f>IF(OR(J189="",K189=""),"",ROUND(J189-(J189-K189)*'설정'!$B$2,0))</f>
        <v/>
      </c>
      <c r="M189" s="4">
        <f>IF(OR(A189="",J189=""),"",ROUND(J189*N(IFERROR(INDEX('판매채널'!$F$2:$F$501,MATCH(A189,'판매채널'!$A$2:$A$501,0)),"")),0))</f>
        <v/>
      </c>
      <c r="N189" s="4">
        <f>IF(OR(J189="",K189=""),"",J189-M189-K189)</f>
        <v/>
      </c>
      <c r="O189" s="5">
        <f>IF(OR(J189="",J189=0),"",N189/J189)</f>
        <v/>
      </c>
    </row>
    <row r="190">
      <c r="B190" s="2">
        <f>IF(A190="","",IFERROR(INDEX('판매채널'!$B$2:$B$501,MATCH(A190,'판매채널'!$A$2:$A$501,0)),""))</f>
        <v/>
      </c>
      <c r="D190" s="2">
        <f>IF(C190="","",IFERROR(INDEX('판매구성'!$B$2:$B$501,MATCH(C190,'판매구성'!$A$2:$A$501,0)),""))</f>
        <v/>
      </c>
      <c r="G190" s="3" t="n"/>
      <c r="I190" s="2">
        <f>IF(C190="","",IFERROR(INDEX('판매구성'!$C$2:$C$501,MATCH(C190,'판매구성'!$A$2:$A$501,0)),""))</f>
        <v/>
      </c>
      <c r="J190" s="4">
        <f>IF(OR(C190="",E190=""),"",IFERROR(IF(INDEX('가격표'!$D$2:$K$501,MATCH(C190,'가격표'!$A$2:$A$501,0),MATCH(E190,'가격표'!$D$1:$K$1,0))="","",INDEX('가격표'!$D$2:$K$501,MATCH(C190,'가격표'!$A$2:$A$501,0),MATCH(E190,'가격표'!$D$1:$K$1,0))),""))</f>
        <v/>
      </c>
      <c r="K190" s="4">
        <f>IF(C190="","",IFERROR(INDEX('판매구성'!$D$2:$D$501,MATCH(C190,'판매구성'!$A$2:$A$501,0)),""))</f>
        <v/>
      </c>
      <c r="L190" s="4">
        <f>IF(OR(J190="",K190=""),"",ROUND(J190-(J190-K190)*'설정'!$B$2,0))</f>
        <v/>
      </c>
      <c r="M190" s="4">
        <f>IF(OR(A190="",J190=""),"",ROUND(J190*N(IFERROR(INDEX('판매채널'!$F$2:$F$501,MATCH(A190,'판매채널'!$A$2:$A$501,0)),"")),0))</f>
        <v/>
      </c>
      <c r="N190" s="4">
        <f>IF(OR(J190="",K190=""),"",J190-M190-K190)</f>
        <v/>
      </c>
      <c r="O190" s="5">
        <f>IF(OR(J190="",J190=0),"",N190/J190)</f>
        <v/>
      </c>
    </row>
    <row r="191">
      <c r="B191" s="2">
        <f>IF(A191="","",IFERROR(INDEX('판매채널'!$B$2:$B$501,MATCH(A191,'판매채널'!$A$2:$A$501,0)),""))</f>
        <v/>
      </c>
      <c r="D191" s="2">
        <f>IF(C191="","",IFERROR(INDEX('판매구성'!$B$2:$B$501,MATCH(C191,'판매구성'!$A$2:$A$501,0)),""))</f>
        <v/>
      </c>
      <c r="G191" s="3" t="n"/>
      <c r="I191" s="2">
        <f>IF(C191="","",IFERROR(INDEX('판매구성'!$C$2:$C$501,MATCH(C191,'판매구성'!$A$2:$A$501,0)),""))</f>
        <v/>
      </c>
      <c r="J191" s="4">
        <f>IF(OR(C191="",E191=""),"",IFERROR(IF(INDEX('가격표'!$D$2:$K$501,MATCH(C191,'가격표'!$A$2:$A$501,0),MATCH(E191,'가격표'!$D$1:$K$1,0))="","",INDEX('가격표'!$D$2:$K$501,MATCH(C191,'가격표'!$A$2:$A$501,0),MATCH(E191,'가격표'!$D$1:$K$1,0))),""))</f>
        <v/>
      </c>
      <c r="K191" s="4">
        <f>IF(C191="","",IFERROR(INDEX('판매구성'!$D$2:$D$501,MATCH(C191,'판매구성'!$A$2:$A$501,0)),""))</f>
        <v/>
      </c>
      <c r="L191" s="4">
        <f>IF(OR(J191="",K191=""),"",ROUND(J191-(J191-K191)*'설정'!$B$2,0))</f>
        <v/>
      </c>
      <c r="M191" s="4">
        <f>IF(OR(A191="",J191=""),"",ROUND(J191*N(IFERROR(INDEX('판매채널'!$F$2:$F$501,MATCH(A191,'판매채널'!$A$2:$A$501,0)),"")),0))</f>
        <v/>
      </c>
      <c r="N191" s="4">
        <f>IF(OR(J191="",K191=""),"",J191-M191-K191)</f>
        <v/>
      </c>
      <c r="O191" s="5">
        <f>IF(OR(J191="",J191=0),"",N191/J191)</f>
        <v/>
      </c>
    </row>
    <row r="192">
      <c r="B192" s="2">
        <f>IF(A192="","",IFERROR(INDEX('판매채널'!$B$2:$B$501,MATCH(A192,'판매채널'!$A$2:$A$501,0)),""))</f>
        <v/>
      </c>
      <c r="D192" s="2">
        <f>IF(C192="","",IFERROR(INDEX('판매구성'!$B$2:$B$501,MATCH(C192,'판매구성'!$A$2:$A$501,0)),""))</f>
        <v/>
      </c>
      <c r="G192" s="3" t="n"/>
      <c r="I192" s="2">
        <f>IF(C192="","",IFERROR(INDEX('판매구성'!$C$2:$C$501,MATCH(C192,'판매구성'!$A$2:$A$501,0)),""))</f>
        <v/>
      </c>
      <c r="J192" s="4">
        <f>IF(OR(C192="",E192=""),"",IFERROR(IF(INDEX('가격표'!$D$2:$K$501,MATCH(C192,'가격표'!$A$2:$A$501,0),MATCH(E192,'가격표'!$D$1:$K$1,0))="","",INDEX('가격표'!$D$2:$K$501,MATCH(C192,'가격표'!$A$2:$A$501,0),MATCH(E192,'가격표'!$D$1:$K$1,0))),""))</f>
        <v/>
      </c>
      <c r="K192" s="4">
        <f>IF(C192="","",IFERROR(INDEX('판매구성'!$D$2:$D$501,MATCH(C192,'판매구성'!$A$2:$A$501,0)),""))</f>
        <v/>
      </c>
      <c r="L192" s="4">
        <f>IF(OR(J192="",K192=""),"",ROUND(J192-(J192-K192)*'설정'!$B$2,0))</f>
        <v/>
      </c>
      <c r="M192" s="4">
        <f>IF(OR(A192="",J192=""),"",ROUND(J192*N(IFERROR(INDEX('판매채널'!$F$2:$F$501,MATCH(A192,'판매채널'!$A$2:$A$501,0)),"")),0))</f>
        <v/>
      </c>
      <c r="N192" s="4">
        <f>IF(OR(J192="",K192=""),"",J192-M192-K192)</f>
        <v/>
      </c>
      <c r="O192" s="5">
        <f>IF(OR(J192="",J192=0),"",N192/J192)</f>
        <v/>
      </c>
    </row>
    <row r="193">
      <c r="B193" s="2">
        <f>IF(A193="","",IFERROR(INDEX('판매채널'!$B$2:$B$501,MATCH(A193,'판매채널'!$A$2:$A$501,0)),""))</f>
        <v/>
      </c>
      <c r="D193" s="2">
        <f>IF(C193="","",IFERROR(INDEX('판매구성'!$B$2:$B$501,MATCH(C193,'판매구성'!$A$2:$A$501,0)),""))</f>
        <v/>
      </c>
      <c r="G193" s="3" t="n"/>
      <c r="I193" s="2">
        <f>IF(C193="","",IFERROR(INDEX('판매구성'!$C$2:$C$501,MATCH(C193,'판매구성'!$A$2:$A$501,0)),""))</f>
        <v/>
      </c>
      <c r="J193" s="4">
        <f>IF(OR(C193="",E193=""),"",IFERROR(IF(INDEX('가격표'!$D$2:$K$501,MATCH(C193,'가격표'!$A$2:$A$501,0),MATCH(E193,'가격표'!$D$1:$K$1,0))="","",INDEX('가격표'!$D$2:$K$501,MATCH(C193,'가격표'!$A$2:$A$501,0),MATCH(E193,'가격표'!$D$1:$K$1,0))),""))</f>
        <v/>
      </c>
      <c r="K193" s="4">
        <f>IF(C193="","",IFERROR(INDEX('판매구성'!$D$2:$D$501,MATCH(C193,'판매구성'!$A$2:$A$501,0)),""))</f>
        <v/>
      </c>
      <c r="L193" s="4">
        <f>IF(OR(J193="",K193=""),"",ROUND(J193-(J193-K193)*'설정'!$B$2,0))</f>
        <v/>
      </c>
      <c r="M193" s="4">
        <f>IF(OR(A193="",J193=""),"",ROUND(J193*N(IFERROR(INDEX('판매채널'!$F$2:$F$501,MATCH(A193,'판매채널'!$A$2:$A$501,0)),"")),0))</f>
        <v/>
      </c>
      <c r="N193" s="4">
        <f>IF(OR(J193="",K193=""),"",J193-M193-K193)</f>
        <v/>
      </c>
      <c r="O193" s="5">
        <f>IF(OR(J193="",J193=0),"",N193/J193)</f>
        <v/>
      </c>
    </row>
    <row r="194">
      <c r="B194" s="2">
        <f>IF(A194="","",IFERROR(INDEX('판매채널'!$B$2:$B$501,MATCH(A194,'판매채널'!$A$2:$A$501,0)),""))</f>
        <v/>
      </c>
      <c r="D194" s="2">
        <f>IF(C194="","",IFERROR(INDEX('판매구성'!$B$2:$B$501,MATCH(C194,'판매구성'!$A$2:$A$501,0)),""))</f>
        <v/>
      </c>
      <c r="G194" s="3" t="n"/>
      <c r="I194" s="2">
        <f>IF(C194="","",IFERROR(INDEX('판매구성'!$C$2:$C$501,MATCH(C194,'판매구성'!$A$2:$A$501,0)),""))</f>
        <v/>
      </c>
      <c r="J194" s="4">
        <f>IF(OR(C194="",E194=""),"",IFERROR(IF(INDEX('가격표'!$D$2:$K$501,MATCH(C194,'가격표'!$A$2:$A$501,0),MATCH(E194,'가격표'!$D$1:$K$1,0))="","",INDEX('가격표'!$D$2:$K$501,MATCH(C194,'가격표'!$A$2:$A$501,0),MATCH(E194,'가격표'!$D$1:$K$1,0))),""))</f>
        <v/>
      </c>
      <c r="K194" s="4">
        <f>IF(C194="","",IFERROR(INDEX('판매구성'!$D$2:$D$501,MATCH(C194,'판매구성'!$A$2:$A$501,0)),""))</f>
        <v/>
      </c>
      <c r="L194" s="4">
        <f>IF(OR(J194="",K194=""),"",ROUND(J194-(J194-K194)*'설정'!$B$2,0))</f>
        <v/>
      </c>
      <c r="M194" s="4">
        <f>IF(OR(A194="",J194=""),"",ROUND(J194*N(IFERROR(INDEX('판매채널'!$F$2:$F$501,MATCH(A194,'판매채널'!$A$2:$A$501,0)),"")),0))</f>
        <v/>
      </c>
      <c r="N194" s="4">
        <f>IF(OR(J194="",K194=""),"",J194-M194-K194)</f>
        <v/>
      </c>
      <c r="O194" s="5">
        <f>IF(OR(J194="",J194=0),"",N194/J194)</f>
        <v/>
      </c>
    </row>
    <row r="195">
      <c r="B195" s="2">
        <f>IF(A195="","",IFERROR(INDEX('판매채널'!$B$2:$B$501,MATCH(A195,'판매채널'!$A$2:$A$501,0)),""))</f>
        <v/>
      </c>
      <c r="D195" s="2">
        <f>IF(C195="","",IFERROR(INDEX('판매구성'!$B$2:$B$501,MATCH(C195,'판매구성'!$A$2:$A$501,0)),""))</f>
        <v/>
      </c>
      <c r="G195" s="3" t="n"/>
      <c r="I195" s="2">
        <f>IF(C195="","",IFERROR(INDEX('판매구성'!$C$2:$C$501,MATCH(C195,'판매구성'!$A$2:$A$501,0)),""))</f>
        <v/>
      </c>
      <c r="J195" s="4">
        <f>IF(OR(C195="",E195=""),"",IFERROR(IF(INDEX('가격표'!$D$2:$K$501,MATCH(C195,'가격표'!$A$2:$A$501,0),MATCH(E195,'가격표'!$D$1:$K$1,0))="","",INDEX('가격표'!$D$2:$K$501,MATCH(C195,'가격표'!$A$2:$A$501,0),MATCH(E195,'가격표'!$D$1:$K$1,0))),""))</f>
        <v/>
      </c>
      <c r="K195" s="4">
        <f>IF(C195="","",IFERROR(INDEX('판매구성'!$D$2:$D$501,MATCH(C195,'판매구성'!$A$2:$A$501,0)),""))</f>
        <v/>
      </c>
      <c r="L195" s="4">
        <f>IF(OR(J195="",K195=""),"",ROUND(J195-(J195-K195)*'설정'!$B$2,0))</f>
        <v/>
      </c>
      <c r="M195" s="4">
        <f>IF(OR(A195="",J195=""),"",ROUND(J195*N(IFERROR(INDEX('판매채널'!$F$2:$F$501,MATCH(A195,'판매채널'!$A$2:$A$501,0)),"")),0))</f>
        <v/>
      </c>
      <c r="N195" s="4">
        <f>IF(OR(J195="",K195=""),"",J195-M195-K195)</f>
        <v/>
      </c>
      <c r="O195" s="5">
        <f>IF(OR(J195="",J195=0),"",N195/J195)</f>
        <v/>
      </c>
    </row>
    <row r="196">
      <c r="B196" s="2">
        <f>IF(A196="","",IFERROR(INDEX('판매채널'!$B$2:$B$501,MATCH(A196,'판매채널'!$A$2:$A$501,0)),""))</f>
        <v/>
      </c>
      <c r="D196" s="2">
        <f>IF(C196="","",IFERROR(INDEX('판매구성'!$B$2:$B$501,MATCH(C196,'판매구성'!$A$2:$A$501,0)),""))</f>
        <v/>
      </c>
      <c r="G196" s="3" t="n"/>
      <c r="I196" s="2">
        <f>IF(C196="","",IFERROR(INDEX('판매구성'!$C$2:$C$501,MATCH(C196,'판매구성'!$A$2:$A$501,0)),""))</f>
        <v/>
      </c>
      <c r="J196" s="4">
        <f>IF(OR(C196="",E196=""),"",IFERROR(IF(INDEX('가격표'!$D$2:$K$501,MATCH(C196,'가격표'!$A$2:$A$501,0),MATCH(E196,'가격표'!$D$1:$K$1,0))="","",INDEX('가격표'!$D$2:$K$501,MATCH(C196,'가격표'!$A$2:$A$501,0),MATCH(E196,'가격표'!$D$1:$K$1,0))),""))</f>
        <v/>
      </c>
      <c r="K196" s="4">
        <f>IF(C196="","",IFERROR(INDEX('판매구성'!$D$2:$D$501,MATCH(C196,'판매구성'!$A$2:$A$501,0)),""))</f>
        <v/>
      </c>
      <c r="L196" s="4">
        <f>IF(OR(J196="",K196=""),"",ROUND(J196-(J196-K196)*'설정'!$B$2,0))</f>
        <v/>
      </c>
      <c r="M196" s="4">
        <f>IF(OR(A196="",J196=""),"",ROUND(J196*N(IFERROR(INDEX('판매채널'!$F$2:$F$501,MATCH(A196,'판매채널'!$A$2:$A$501,0)),"")),0))</f>
        <v/>
      </c>
      <c r="N196" s="4">
        <f>IF(OR(J196="",K196=""),"",J196-M196-K196)</f>
        <v/>
      </c>
      <c r="O196" s="5">
        <f>IF(OR(J196="",J196=0),"",N196/J196)</f>
        <v/>
      </c>
    </row>
    <row r="197">
      <c r="B197" s="2">
        <f>IF(A197="","",IFERROR(INDEX('판매채널'!$B$2:$B$501,MATCH(A197,'판매채널'!$A$2:$A$501,0)),""))</f>
        <v/>
      </c>
      <c r="D197" s="2">
        <f>IF(C197="","",IFERROR(INDEX('판매구성'!$B$2:$B$501,MATCH(C197,'판매구성'!$A$2:$A$501,0)),""))</f>
        <v/>
      </c>
      <c r="G197" s="3" t="n"/>
      <c r="I197" s="2">
        <f>IF(C197="","",IFERROR(INDEX('판매구성'!$C$2:$C$501,MATCH(C197,'판매구성'!$A$2:$A$501,0)),""))</f>
        <v/>
      </c>
      <c r="J197" s="4">
        <f>IF(OR(C197="",E197=""),"",IFERROR(IF(INDEX('가격표'!$D$2:$K$501,MATCH(C197,'가격표'!$A$2:$A$501,0),MATCH(E197,'가격표'!$D$1:$K$1,0))="","",INDEX('가격표'!$D$2:$K$501,MATCH(C197,'가격표'!$A$2:$A$501,0),MATCH(E197,'가격표'!$D$1:$K$1,0))),""))</f>
        <v/>
      </c>
      <c r="K197" s="4">
        <f>IF(C197="","",IFERROR(INDEX('판매구성'!$D$2:$D$501,MATCH(C197,'판매구성'!$A$2:$A$501,0)),""))</f>
        <v/>
      </c>
      <c r="L197" s="4">
        <f>IF(OR(J197="",K197=""),"",ROUND(J197-(J197-K197)*'설정'!$B$2,0))</f>
        <v/>
      </c>
      <c r="M197" s="4">
        <f>IF(OR(A197="",J197=""),"",ROUND(J197*N(IFERROR(INDEX('판매채널'!$F$2:$F$501,MATCH(A197,'판매채널'!$A$2:$A$501,0)),"")),0))</f>
        <v/>
      </c>
      <c r="N197" s="4">
        <f>IF(OR(J197="",K197=""),"",J197-M197-K197)</f>
        <v/>
      </c>
      <c r="O197" s="5">
        <f>IF(OR(J197="",J197=0),"",N197/J197)</f>
        <v/>
      </c>
    </row>
    <row r="198">
      <c r="B198" s="2">
        <f>IF(A198="","",IFERROR(INDEX('판매채널'!$B$2:$B$501,MATCH(A198,'판매채널'!$A$2:$A$501,0)),""))</f>
        <v/>
      </c>
      <c r="D198" s="2">
        <f>IF(C198="","",IFERROR(INDEX('판매구성'!$B$2:$B$501,MATCH(C198,'판매구성'!$A$2:$A$501,0)),""))</f>
        <v/>
      </c>
      <c r="G198" s="3" t="n"/>
      <c r="I198" s="2">
        <f>IF(C198="","",IFERROR(INDEX('판매구성'!$C$2:$C$501,MATCH(C198,'판매구성'!$A$2:$A$501,0)),""))</f>
        <v/>
      </c>
      <c r="J198" s="4">
        <f>IF(OR(C198="",E198=""),"",IFERROR(IF(INDEX('가격표'!$D$2:$K$501,MATCH(C198,'가격표'!$A$2:$A$501,0),MATCH(E198,'가격표'!$D$1:$K$1,0))="","",INDEX('가격표'!$D$2:$K$501,MATCH(C198,'가격표'!$A$2:$A$501,0),MATCH(E198,'가격표'!$D$1:$K$1,0))),""))</f>
        <v/>
      </c>
      <c r="K198" s="4">
        <f>IF(C198="","",IFERROR(INDEX('판매구성'!$D$2:$D$501,MATCH(C198,'판매구성'!$A$2:$A$501,0)),""))</f>
        <v/>
      </c>
      <c r="L198" s="4">
        <f>IF(OR(J198="",K198=""),"",ROUND(J198-(J198-K198)*'설정'!$B$2,0))</f>
        <v/>
      </c>
      <c r="M198" s="4">
        <f>IF(OR(A198="",J198=""),"",ROUND(J198*N(IFERROR(INDEX('판매채널'!$F$2:$F$501,MATCH(A198,'판매채널'!$A$2:$A$501,0)),"")),0))</f>
        <v/>
      </c>
      <c r="N198" s="4">
        <f>IF(OR(J198="",K198=""),"",J198-M198-K198)</f>
        <v/>
      </c>
      <c r="O198" s="5">
        <f>IF(OR(J198="",J198=0),"",N198/J198)</f>
        <v/>
      </c>
    </row>
    <row r="199">
      <c r="B199" s="2">
        <f>IF(A199="","",IFERROR(INDEX('판매채널'!$B$2:$B$501,MATCH(A199,'판매채널'!$A$2:$A$501,0)),""))</f>
        <v/>
      </c>
      <c r="D199" s="2">
        <f>IF(C199="","",IFERROR(INDEX('판매구성'!$B$2:$B$501,MATCH(C199,'판매구성'!$A$2:$A$501,0)),""))</f>
        <v/>
      </c>
      <c r="G199" s="3" t="n"/>
      <c r="I199" s="2">
        <f>IF(C199="","",IFERROR(INDEX('판매구성'!$C$2:$C$501,MATCH(C199,'판매구성'!$A$2:$A$501,0)),""))</f>
        <v/>
      </c>
      <c r="J199" s="4">
        <f>IF(OR(C199="",E199=""),"",IFERROR(IF(INDEX('가격표'!$D$2:$K$501,MATCH(C199,'가격표'!$A$2:$A$501,0),MATCH(E199,'가격표'!$D$1:$K$1,0))="","",INDEX('가격표'!$D$2:$K$501,MATCH(C199,'가격표'!$A$2:$A$501,0),MATCH(E199,'가격표'!$D$1:$K$1,0))),""))</f>
        <v/>
      </c>
      <c r="K199" s="4">
        <f>IF(C199="","",IFERROR(INDEX('판매구성'!$D$2:$D$501,MATCH(C199,'판매구성'!$A$2:$A$501,0)),""))</f>
        <v/>
      </c>
      <c r="L199" s="4">
        <f>IF(OR(J199="",K199=""),"",ROUND(J199-(J199-K199)*'설정'!$B$2,0))</f>
        <v/>
      </c>
      <c r="M199" s="4">
        <f>IF(OR(A199="",J199=""),"",ROUND(J199*N(IFERROR(INDEX('판매채널'!$F$2:$F$501,MATCH(A199,'판매채널'!$A$2:$A$501,0)),"")),0))</f>
        <v/>
      </c>
      <c r="N199" s="4">
        <f>IF(OR(J199="",K199=""),"",J199-M199-K199)</f>
        <v/>
      </c>
      <c r="O199" s="5">
        <f>IF(OR(J199="",J199=0),"",N199/J199)</f>
        <v/>
      </c>
    </row>
    <row r="200">
      <c r="B200" s="2">
        <f>IF(A200="","",IFERROR(INDEX('판매채널'!$B$2:$B$501,MATCH(A200,'판매채널'!$A$2:$A$501,0)),""))</f>
        <v/>
      </c>
      <c r="D200" s="2">
        <f>IF(C200="","",IFERROR(INDEX('판매구성'!$B$2:$B$501,MATCH(C200,'판매구성'!$A$2:$A$501,0)),""))</f>
        <v/>
      </c>
      <c r="G200" s="3" t="n"/>
      <c r="I200" s="2">
        <f>IF(C200="","",IFERROR(INDEX('판매구성'!$C$2:$C$501,MATCH(C200,'판매구성'!$A$2:$A$501,0)),""))</f>
        <v/>
      </c>
      <c r="J200" s="4">
        <f>IF(OR(C200="",E200=""),"",IFERROR(IF(INDEX('가격표'!$D$2:$K$501,MATCH(C200,'가격표'!$A$2:$A$501,0),MATCH(E200,'가격표'!$D$1:$K$1,0))="","",INDEX('가격표'!$D$2:$K$501,MATCH(C200,'가격표'!$A$2:$A$501,0),MATCH(E200,'가격표'!$D$1:$K$1,0))),""))</f>
        <v/>
      </c>
      <c r="K200" s="4">
        <f>IF(C200="","",IFERROR(INDEX('판매구성'!$D$2:$D$501,MATCH(C200,'판매구성'!$A$2:$A$501,0)),""))</f>
        <v/>
      </c>
      <c r="L200" s="4">
        <f>IF(OR(J200="",K200=""),"",ROUND(J200-(J200-K200)*'설정'!$B$2,0))</f>
        <v/>
      </c>
      <c r="M200" s="4">
        <f>IF(OR(A200="",J200=""),"",ROUND(J200*N(IFERROR(INDEX('판매채널'!$F$2:$F$501,MATCH(A200,'판매채널'!$A$2:$A$501,0)),"")),0))</f>
        <v/>
      </c>
      <c r="N200" s="4">
        <f>IF(OR(J200="",K200=""),"",J200-M200-K200)</f>
        <v/>
      </c>
      <c r="O200" s="5">
        <f>IF(OR(J200="",J200=0),"",N200/J200)</f>
        <v/>
      </c>
    </row>
    <row r="201">
      <c r="B201" s="2">
        <f>IF(A201="","",IFERROR(INDEX('판매채널'!$B$2:$B$501,MATCH(A201,'판매채널'!$A$2:$A$501,0)),""))</f>
        <v/>
      </c>
      <c r="D201" s="2">
        <f>IF(C201="","",IFERROR(INDEX('판매구성'!$B$2:$B$501,MATCH(C201,'판매구성'!$A$2:$A$501,0)),""))</f>
        <v/>
      </c>
      <c r="G201" s="3" t="n"/>
      <c r="I201" s="2">
        <f>IF(C201="","",IFERROR(INDEX('판매구성'!$C$2:$C$501,MATCH(C201,'판매구성'!$A$2:$A$501,0)),""))</f>
        <v/>
      </c>
      <c r="J201" s="4">
        <f>IF(OR(C201="",E201=""),"",IFERROR(IF(INDEX('가격표'!$D$2:$K$501,MATCH(C201,'가격표'!$A$2:$A$501,0),MATCH(E201,'가격표'!$D$1:$K$1,0))="","",INDEX('가격표'!$D$2:$K$501,MATCH(C201,'가격표'!$A$2:$A$501,0),MATCH(E201,'가격표'!$D$1:$K$1,0))),""))</f>
        <v/>
      </c>
      <c r="K201" s="4">
        <f>IF(C201="","",IFERROR(INDEX('판매구성'!$D$2:$D$501,MATCH(C201,'판매구성'!$A$2:$A$501,0)),""))</f>
        <v/>
      </c>
      <c r="L201" s="4">
        <f>IF(OR(J201="",K201=""),"",ROUND(J201-(J201-K201)*'설정'!$B$2,0))</f>
        <v/>
      </c>
      <c r="M201" s="4">
        <f>IF(OR(A201="",J201=""),"",ROUND(J201*N(IFERROR(INDEX('판매채널'!$F$2:$F$501,MATCH(A201,'판매채널'!$A$2:$A$501,0)),"")),0))</f>
        <v/>
      </c>
      <c r="N201" s="4">
        <f>IF(OR(J201="",K201=""),"",J201-M201-K201)</f>
        <v/>
      </c>
      <c r="O201" s="5">
        <f>IF(OR(J201="",J201=0),"",N201/J201)</f>
        <v/>
      </c>
    </row>
    <row r="202">
      <c r="B202" s="2">
        <f>IF(A202="","",IFERROR(INDEX('판매채널'!$B$2:$B$501,MATCH(A202,'판매채널'!$A$2:$A$501,0)),""))</f>
        <v/>
      </c>
      <c r="D202" s="2">
        <f>IF(C202="","",IFERROR(INDEX('판매구성'!$B$2:$B$501,MATCH(C202,'판매구성'!$A$2:$A$501,0)),""))</f>
        <v/>
      </c>
      <c r="G202" s="3" t="n"/>
      <c r="I202" s="2">
        <f>IF(C202="","",IFERROR(INDEX('판매구성'!$C$2:$C$501,MATCH(C202,'판매구성'!$A$2:$A$501,0)),""))</f>
        <v/>
      </c>
      <c r="J202" s="4">
        <f>IF(OR(C202="",E202=""),"",IFERROR(IF(INDEX('가격표'!$D$2:$K$501,MATCH(C202,'가격표'!$A$2:$A$501,0),MATCH(E202,'가격표'!$D$1:$K$1,0))="","",INDEX('가격표'!$D$2:$K$501,MATCH(C202,'가격표'!$A$2:$A$501,0),MATCH(E202,'가격표'!$D$1:$K$1,0))),""))</f>
        <v/>
      </c>
      <c r="K202" s="4">
        <f>IF(C202="","",IFERROR(INDEX('판매구성'!$D$2:$D$501,MATCH(C202,'판매구성'!$A$2:$A$501,0)),""))</f>
        <v/>
      </c>
      <c r="L202" s="4">
        <f>IF(OR(J202="",K202=""),"",ROUND(J202-(J202-K202)*'설정'!$B$2,0))</f>
        <v/>
      </c>
      <c r="M202" s="4">
        <f>IF(OR(A202="",J202=""),"",ROUND(J202*N(IFERROR(INDEX('판매채널'!$F$2:$F$501,MATCH(A202,'판매채널'!$A$2:$A$501,0)),"")),0))</f>
        <v/>
      </c>
      <c r="N202" s="4">
        <f>IF(OR(J202="",K202=""),"",J202-M202-K202)</f>
        <v/>
      </c>
      <c r="O202" s="5">
        <f>IF(OR(J202="",J202=0),"",N202/J202)</f>
        <v/>
      </c>
    </row>
    <row r="203">
      <c r="B203" s="2">
        <f>IF(A203="","",IFERROR(INDEX('판매채널'!$B$2:$B$501,MATCH(A203,'판매채널'!$A$2:$A$501,0)),""))</f>
        <v/>
      </c>
      <c r="D203" s="2">
        <f>IF(C203="","",IFERROR(INDEX('판매구성'!$B$2:$B$501,MATCH(C203,'판매구성'!$A$2:$A$501,0)),""))</f>
        <v/>
      </c>
      <c r="G203" s="3" t="n"/>
      <c r="I203" s="2">
        <f>IF(C203="","",IFERROR(INDEX('판매구성'!$C$2:$C$501,MATCH(C203,'판매구성'!$A$2:$A$501,0)),""))</f>
        <v/>
      </c>
      <c r="J203" s="4">
        <f>IF(OR(C203="",E203=""),"",IFERROR(IF(INDEX('가격표'!$D$2:$K$501,MATCH(C203,'가격표'!$A$2:$A$501,0),MATCH(E203,'가격표'!$D$1:$K$1,0))="","",INDEX('가격표'!$D$2:$K$501,MATCH(C203,'가격표'!$A$2:$A$501,0),MATCH(E203,'가격표'!$D$1:$K$1,0))),""))</f>
        <v/>
      </c>
      <c r="K203" s="4">
        <f>IF(C203="","",IFERROR(INDEX('판매구성'!$D$2:$D$501,MATCH(C203,'판매구성'!$A$2:$A$501,0)),""))</f>
        <v/>
      </c>
      <c r="L203" s="4">
        <f>IF(OR(J203="",K203=""),"",ROUND(J203-(J203-K203)*'설정'!$B$2,0))</f>
        <v/>
      </c>
      <c r="M203" s="4">
        <f>IF(OR(A203="",J203=""),"",ROUND(J203*N(IFERROR(INDEX('판매채널'!$F$2:$F$501,MATCH(A203,'판매채널'!$A$2:$A$501,0)),"")),0))</f>
        <v/>
      </c>
      <c r="N203" s="4">
        <f>IF(OR(J203="",K203=""),"",J203-M203-K203)</f>
        <v/>
      </c>
      <c r="O203" s="5">
        <f>IF(OR(J203="",J203=0),"",N203/J203)</f>
        <v/>
      </c>
    </row>
    <row r="204">
      <c r="B204" s="2">
        <f>IF(A204="","",IFERROR(INDEX('판매채널'!$B$2:$B$501,MATCH(A204,'판매채널'!$A$2:$A$501,0)),""))</f>
        <v/>
      </c>
      <c r="D204" s="2">
        <f>IF(C204="","",IFERROR(INDEX('판매구성'!$B$2:$B$501,MATCH(C204,'판매구성'!$A$2:$A$501,0)),""))</f>
        <v/>
      </c>
      <c r="G204" s="3" t="n"/>
      <c r="I204" s="2">
        <f>IF(C204="","",IFERROR(INDEX('판매구성'!$C$2:$C$501,MATCH(C204,'판매구성'!$A$2:$A$501,0)),""))</f>
        <v/>
      </c>
      <c r="J204" s="4">
        <f>IF(OR(C204="",E204=""),"",IFERROR(IF(INDEX('가격표'!$D$2:$K$501,MATCH(C204,'가격표'!$A$2:$A$501,0),MATCH(E204,'가격표'!$D$1:$K$1,0))="","",INDEX('가격표'!$D$2:$K$501,MATCH(C204,'가격표'!$A$2:$A$501,0),MATCH(E204,'가격표'!$D$1:$K$1,0))),""))</f>
        <v/>
      </c>
      <c r="K204" s="4">
        <f>IF(C204="","",IFERROR(INDEX('판매구성'!$D$2:$D$501,MATCH(C204,'판매구성'!$A$2:$A$501,0)),""))</f>
        <v/>
      </c>
      <c r="L204" s="4">
        <f>IF(OR(J204="",K204=""),"",ROUND(J204-(J204-K204)*'설정'!$B$2,0))</f>
        <v/>
      </c>
      <c r="M204" s="4">
        <f>IF(OR(A204="",J204=""),"",ROUND(J204*N(IFERROR(INDEX('판매채널'!$F$2:$F$501,MATCH(A204,'판매채널'!$A$2:$A$501,0)),"")),0))</f>
        <v/>
      </c>
      <c r="N204" s="4">
        <f>IF(OR(J204="",K204=""),"",J204-M204-K204)</f>
        <v/>
      </c>
      <c r="O204" s="5">
        <f>IF(OR(J204="",J204=0),"",N204/J204)</f>
        <v/>
      </c>
    </row>
    <row r="205">
      <c r="B205" s="2">
        <f>IF(A205="","",IFERROR(INDEX('판매채널'!$B$2:$B$501,MATCH(A205,'판매채널'!$A$2:$A$501,0)),""))</f>
        <v/>
      </c>
      <c r="D205" s="2">
        <f>IF(C205="","",IFERROR(INDEX('판매구성'!$B$2:$B$501,MATCH(C205,'판매구성'!$A$2:$A$501,0)),""))</f>
        <v/>
      </c>
      <c r="G205" s="3" t="n"/>
      <c r="I205" s="2">
        <f>IF(C205="","",IFERROR(INDEX('판매구성'!$C$2:$C$501,MATCH(C205,'판매구성'!$A$2:$A$501,0)),""))</f>
        <v/>
      </c>
      <c r="J205" s="4">
        <f>IF(OR(C205="",E205=""),"",IFERROR(IF(INDEX('가격표'!$D$2:$K$501,MATCH(C205,'가격표'!$A$2:$A$501,0),MATCH(E205,'가격표'!$D$1:$K$1,0))="","",INDEX('가격표'!$D$2:$K$501,MATCH(C205,'가격표'!$A$2:$A$501,0),MATCH(E205,'가격표'!$D$1:$K$1,0))),""))</f>
        <v/>
      </c>
      <c r="K205" s="4">
        <f>IF(C205="","",IFERROR(INDEX('판매구성'!$D$2:$D$501,MATCH(C205,'판매구성'!$A$2:$A$501,0)),""))</f>
        <v/>
      </c>
      <c r="L205" s="4">
        <f>IF(OR(J205="",K205=""),"",ROUND(J205-(J205-K205)*'설정'!$B$2,0))</f>
        <v/>
      </c>
      <c r="M205" s="4">
        <f>IF(OR(A205="",J205=""),"",ROUND(J205*N(IFERROR(INDEX('판매채널'!$F$2:$F$501,MATCH(A205,'판매채널'!$A$2:$A$501,0)),"")),0))</f>
        <v/>
      </c>
      <c r="N205" s="4">
        <f>IF(OR(J205="",K205=""),"",J205-M205-K205)</f>
        <v/>
      </c>
      <c r="O205" s="5">
        <f>IF(OR(J205="",J205=0),"",N205/J205)</f>
        <v/>
      </c>
    </row>
    <row r="206">
      <c r="B206" s="2">
        <f>IF(A206="","",IFERROR(INDEX('판매채널'!$B$2:$B$501,MATCH(A206,'판매채널'!$A$2:$A$501,0)),""))</f>
        <v/>
      </c>
      <c r="D206" s="2">
        <f>IF(C206="","",IFERROR(INDEX('판매구성'!$B$2:$B$501,MATCH(C206,'판매구성'!$A$2:$A$501,0)),""))</f>
        <v/>
      </c>
      <c r="G206" s="3" t="n"/>
      <c r="I206" s="2">
        <f>IF(C206="","",IFERROR(INDEX('판매구성'!$C$2:$C$501,MATCH(C206,'판매구성'!$A$2:$A$501,0)),""))</f>
        <v/>
      </c>
      <c r="J206" s="4">
        <f>IF(OR(C206="",E206=""),"",IFERROR(IF(INDEX('가격표'!$D$2:$K$501,MATCH(C206,'가격표'!$A$2:$A$501,0),MATCH(E206,'가격표'!$D$1:$K$1,0))="","",INDEX('가격표'!$D$2:$K$501,MATCH(C206,'가격표'!$A$2:$A$501,0),MATCH(E206,'가격표'!$D$1:$K$1,0))),""))</f>
        <v/>
      </c>
      <c r="K206" s="4">
        <f>IF(C206="","",IFERROR(INDEX('판매구성'!$D$2:$D$501,MATCH(C206,'판매구성'!$A$2:$A$501,0)),""))</f>
        <v/>
      </c>
      <c r="L206" s="4">
        <f>IF(OR(J206="",K206=""),"",ROUND(J206-(J206-K206)*'설정'!$B$2,0))</f>
        <v/>
      </c>
      <c r="M206" s="4">
        <f>IF(OR(A206="",J206=""),"",ROUND(J206*N(IFERROR(INDEX('판매채널'!$F$2:$F$501,MATCH(A206,'판매채널'!$A$2:$A$501,0)),"")),0))</f>
        <v/>
      </c>
      <c r="N206" s="4">
        <f>IF(OR(J206="",K206=""),"",J206-M206-K206)</f>
        <v/>
      </c>
      <c r="O206" s="5">
        <f>IF(OR(J206="",J206=0),"",N206/J206)</f>
        <v/>
      </c>
    </row>
    <row r="207">
      <c r="B207" s="2">
        <f>IF(A207="","",IFERROR(INDEX('판매채널'!$B$2:$B$501,MATCH(A207,'판매채널'!$A$2:$A$501,0)),""))</f>
        <v/>
      </c>
      <c r="D207" s="2">
        <f>IF(C207="","",IFERROR(INDEX('판매구성'!$B$2:$B$501,MATCH(C207,'판매구성'!$A$2:$A$501,0)),""))</f>
        <v/>
      </c>
      <c r="G207" s="3" t="n"/>
      <c r="I207" s="2">
        <f>IF(C207="","",IFERROR(INDEX('판매구성'!$C$2:$C$501,MATCH(C207,'판매구성'!$A$2:$A$501,0)),""))</f>
        <v/>
      </c>
      <c r="J207" s="4">
        <f>IF(OR(C207="",E207=""),"",IFERROR(IF(INDEX('가격표'!$D$2:$K$501,MATCH(C207,'가격표'!$A$2:$A$501,0),MATCH(E207,'가격표'!$D$1:$K$1,0))="","",INDEX('가격표'!$D$2:$K$501,MATCH(C207,'가격표'!$A$2:$A$501,0),MATCH(E207,'가격표'!$D$1:$K$1,0))),""))</f>
        <v/>
      </c>
      <c r="K207" s="4">
        <f>IF(C207="","",IFERROR(INDEX('판매구성'!$D$2:$D$501,MATCH(C207,'판매구성'!$A$2:$A$501,0)),""))</f>
        <v/>
      </c>
      <c r="L207" s="4">
        <f>IF(OR(J207="",K207=""),"",ROUND(J207-(J207-K207)*'설정'!$B$2,0))</f>
        <v/>
      </c>
      <c r="M207" s="4">
        <f>IF(OR(A207="",J207=""),"",ROUND(J207*N(IFERROR(INDEX('판매채널'!$F$2:$F$501,MATCH(A207,'판매채널'!$A$2:$A$501,0)),"")),0))</f>
        <v/>
      </c>
      <c r="N207" s="4">
        <f>IF(OR(J207="",K207=""),"",J207-M207-K207)</f>
        <v/>
      </c>
      <c r="O207" s="5">
        <f>IF(OR(J207="",J207=0),"",N207/J207)</f>
        <v/>
      </c>
    </row>
    <row r="208">
      <c r="B208" s="2">
        <f>IF(A208="","",IFERROR(INDEX('판매채널'!$B$2:$B$501,MATCH(A208,'판매채널'!$A$2:$A$501,0)),""))</f>
        <v/>
      </c>
      <c r="D208" s="2">
        <f>IF(C208="","",IFERROR(INDEX('판매구성'!$B$2:$B$501,MATCH(C208,'판매구성'!$A$2:$A$501,0)),""))</f>
        <v/>
      </c>
      <c r="G208" s="3" t="n"/>
      <c r="I208" s="2">
        <f>IF(C208="","",IFERROR(INDEX('판매구성'!$C$2:$C$501,MATCH(C208,'판매구성'!$A$2:$A$501,0)),""))</f>
        <v/>
      </c>
      <c r="J208" s="4">
        <f>IF(OR(C208="",E208=""),"",IFERROR(IF(INDEX('가격표'!$D$2:$K$501,MATCH(C208,'가격표'!$A$2:$A$501,0),MATCH(E208,'가격표'!$D$1:$K$1,0))="","",INDEX('가격표'!$D$2:$K$501,MATCH(C208,'가격표'!$A$2:$A$501,0),MATCH(E208,'가격표'!$D$1:$K$1,0))),""))</f>
        <v/>
      </c>
      <c r="K208" s="4">
        <f>IF(C208="","",IFERROR(INDEX('판매구성'!$D$2:$D$501,MATCH(C208,'판매구성'!$A$2:$A$501,0)),""))</f>
        <v/>
      </c>
      <c r="L208" s="4">
        <f>IF(OR(J208="",K208=""),"",ROUND(J208-(J208-K208)*'설정'!$B$2,0))</f>
        <v/>
      </c>
      <c r="M208" s="4">
        <f>IF(OR(A208="",J208=""),"",ROUND(J208*N(IFERROR(INDEX('판매채널'!$F$2:$F$501,MATCH(A208,'판매채널'!$A$2:$A$501,0)),"")),0))</f>
        <v/>
      </c>
      <c r="N208" s="4">
        <f>IF(OR(J208="",K208=""),"",J208-M208-K208)</f>
        <v/>
      </c>
      <c r="O208" s="5">
        <f>IF(OR(J208="",J208=0),"",N208/J208)</f>
        <v/>
      </c>
    </row>
    <row r="209">
      <c r="B209" s="2">
        <f>IF(A209="","",IFERROR(INDEX('판매채널'!$B$2:$B$501,MATCH(A209,'판매채널'!$A$2:$A$501,0)),""))</f>
        <v/>
      </c>
      <c r="D209" s="2">
        <f>IF(C209="","",IFERROR(INDEX('판매구성'!$B$2:$B$501,MATCH(C209,'판매구성'!$A$2:$A$501,0)),""))</f>
        <v/>
      </c>
      <c r="G209" s="3" t="n"/>
      <c r="I209" s="2">
        <f>IF(C209="","",IFERROR(INDEX('판매구성'!$C$2:$C$501,MATCH(C209,'판매구성'!$A$2:$A$501,0)),""))</f>
        <v/>
      </c>
      <c r="J209" s="4">
        <f>IF(OR(C209="",E209=""),"",IFERROR(IF(INDEX('가격표'!$D$2:$K$501,MATCH(C209,'가격표'!$A$2:$A$501,0),MATCH(E209,'가격표'!$D$1:$K$1,0))="","",INDEX('가격표'!$D$2:$K$501,MATCH(C209,'가격표'!$A$2:$A$501,0),MATCH(E209,'가격표'!$D$1:$K$1,0))),""))</f>
        <v/>
      </c>
      <c r="K209" s="4">
        <f>IF(C209="","",IFERROR(INDEX('판매구성'!$D$2:$D$501,MATCH(C209,'판매구성'!$A$2:$A$501,0)),""))</f>
        <v/>
      </c>
      <c r="L209" s="4">
        <f>IF(OR(J209="",K209=""),"",ROUND(J209-(J209-K209)*'설정'!$B$2,0))</f>
        <v/>
      </c>
      <c r="M209" s="4">
        <f>IF(OR(A209="",J209=""),"",ROUND(J209*N(IFERROR(INDEX('판매채널'!$F$2:$F$501,MATCH(A209,'판매채널'!$A$2:$A$501,0)),"")),0))</f>
        <v/>
      </c>
      <c r="N209" s="4">
        <f>IF(OR(J209="",K209=""),"",J209-M209-K209)</f>
        <v/>
      </c>
      <c r="O209" s="5">
        <f>IF(OR(J209="",J209=0),"",N209/J209)</f>
        <v/>
      </c>
    </row>
    <row r="210">
      <c r="B210" s="2">
        <f>IF(A210="","",IFERROR(INDEX('판매채널'!$B$2:$B$501,MATCH(A210,'판매채널'!$A$2:$A$501,0)),""))</f>
        <v/>
      </c>
      <c r="D210" s="2">
        <f>IF(C210="","",IFERROR(INDEX('판매구성'!$B$2:$B$501,MATCH(C210,'판매구성'!$A$2:$A$501,0)),""))</f>
        <v/>
      </c>
      <c r="G210" s="3" t="n"/>
      <c r="I210" s="2">
        <f>IF(C210="","",IFERROR(INDEX('판매구성'!$C$2:$C$501,MATCH(C210,'판매구성'!$A$2:$A$501,0)),""))</f>
        <v/>
      </c>
      <c r="J210" s="4">
        <f>IF(OR(C210="",E210=""),"",IFERROR(IF(INDEX('가격표'!$D$2:$K$501,MATCH(C210,'가격표'!$A$2:$A$501,0),MATCH(E210,'가격표'!$D$1:$K$1,0))="","",INDEX('가격표'!$D$2:$K$501,MATCH(C210,'가격표'!$A$2:$A$501,0),MATCH(E210,'가격표'!$D$1:$K$1,0))),""))</f>
        <v/>
      </c>
      <c r="K210" s="4">
        <f>IF(C210="","",IFERROR(INDEX('판매구성'!$D$2:$D$501,MATCH(C210,'판매구성'!$A$2:$A$501,0)),""))</f>
        <v/>
      </c>
      <c r="L210" s="4">
        <f>IF(OR(J210="",K210=""),"",ROUND(J210-(J210-K210)*'설정'!$B$2,0))</f>
        <v/>
      </c>
      <c r="M210" s="4">
        <f>IF(OR(A210="",J210=""),"",ROUND(J210*N(IFERROR(INDEX('판매채널'!$F$2:$F$501,MATCH(A210,'판매채널'!$A$2:$A$501,0)),"")),0))</f>
        <v/>
      </c>
      <c r="N210" s="4">
        <f>IF(OR(J210="",K210=""),"",J210-M210-K210)</f>
        <v/>
      </c>
      <c r="O210" s="5">
        <f>IF(OR(J210="",J210=0),"",N210/J210)</f>
        <v/>
      </c>
    </row>
    <row r="211">
      <c r="B211" s="2">
        <f>IF(A211="","",IFERROR(INDEX('판매채널'!$B$2:$B$501,MATCH(A211,'판매채널'!$A$2:$A$501,0)),""))</f>
        <v/>
      </c>
      <c r="D211" s="2">
        <f>IF(C211="","",IFERROR(INDEX('판매구성'!$B$2:$B$501,MATCH(C211,'판매구성'!$A$2:$A$501,0)),""))</f>
        <v/>
      </c>
      <c r="G211" s="3" t="n"/>
      <c r="I211" s="2">
        <f>IF(C211="","",IFERROR(INDEX('판매구성'!$C$2:$C$501,MATCH(C211,'판매구성'!$A$2:$A$501,0)),""))</f>
        <v/>
      </c>
      <c r="J211" s="4">
        <f>IF(OR(C211="",E211=""),"",IFERROR(IF(INDEX('가격표'!$D$2:$K$501,MATCH(C211,'가격표'!$A$2:$A$501,0),MATCH(E211,'가격표'!$D$1:$K$1,0))="","",INDEX('가격표'!$D$2:$K$501,MATCH(C211,'가격표'!$A$2:$A$501,0),MATCH(E211,'가격표'!$D$1:$K$1,0))),""))</f>
        <v/>
      </c>
      <c r="K211" s="4">
        <f>IF(C211="","",IFERROR(INDEX('판매구성'!$D$2:$D$501,MATCH(C211,'판매구성'!$A$2:$A$501,0)),""))</f>
        <v/>
      </c>
      <c r="L211" s="4">
        <f>IF(OR(J211="",K211=""),"",ROUND(J211-(J211-K211)*'설정'!$B$2,0))</f>
        <v/>
      </c>
      <c r="M211" s="4">
        <f>IF(OR(A211="",J211=""),"",ROUND(J211*N(IFERROR(INDEX('판매채널'!$F$2:$F$501,MATCH(A211,'판매채널'!$A$2:$A$501,0)),"")),0))</f>
        <v/>
      </c>
      <c r="N211" s="4">
        <f>IF(OR(J211="",K211=""),"",J211-M211-K211)</f>
        <v/>
      </c>
      <c r="O211" s="5">
        <f>IF(OR(J211="",J211=0),"",N211/J211)</f>
        <v/>
      </c>
    </row>
    <row r="212">
      <c r="B212" s="2">
        <f>IF(A212="","",IFERROR(INDEX('판매채널'!$B$2:$B$501,MATCH(A212,'판매채널'!$A$2:$A$501,0)),""))</f>
        <v/>
      </c>
      <c r="D212" s="2">
        <f>IF(C212="","",IFERROR(INDEX('판매구성'!$B$2:$B$501,MATCH(C212,'판매구성'!$A$2:$A$501,0)),""))</f>
        <v/>
      </c>
      <c r="G212" s="3" t="n"/>
      <c r="I212" s="2">
        <f>IF(C212="","",IFERROR(INDEX('판매구성'!$C$2:$C$501,MATCH(C212,'판매구성'!$A$2:$A$501,0)),""))</f>
        <v/>
      </c>
      <c r="J212" s="4">
        <f>IF(OR(C212="",E212=""),"",IFERROR(IF(INDEX('가격표'!$D$2:$K$501,MATCH(C212,'가격표'!$A$2:$A$501,0),MATCH(E212,'가격표'!$D$1:$K$1,0))="","",INDEX('가격표'!$D$2:$K$501,MATCH(C212,'가격표'!$A$2:$A$501,0),MATCH(E212,'가격표'!$D$1:$K$1,0))),""))</f>
        <v/>
      </c>
      <c r="K212" s="4">
        <f>IF(C212="","",IFERROR(INDEX('판매구성'!$D$2:$D$501,MATCH(C212,'판매구성'!$A$2:$A$501,0)),""))</f>
        <v/>
      </c>
      <c r="L212" s="4">
        <f>IF(OR(J212="",K212=""),"",ROUND(J212-(J212-K212)*'설정'!$B$2,0))</f>
        <v/>
      </c>
      <c r="M212" s="4">
        <f>IF(OR(A212="",J212=""),"",ROUND(J212*N(IFERROR(INDEX('판매채널'!$F$2:$F$501,MATCH(A212,'판매채널'!$A$2:$A$501,0)),"")),0))</f>
        <v/>
      </c>
      <c r="N212" s="4">
        <f>IF(OR(J212="",K212=""),"",J212-M212-K212)</f>
        <v/>
      </c>
      <c r="O212" s="5">
        <f>IF(OR(J212="",J212=0),"",N212/J212)</f>
        <v/>
      </c>
    </row>
    <row r="213">
      <c r="B213" s="2">
        <f>IF(A213="","",IFERROR(INDEX('판매채널'!$B$2:$B$501,MATCH(A213,'판매채널'!$A$2:$A$501,0)),""))</f>
        <v/>
      </c>
      <c r="D213" s="2">
        <f>IF(C213="","",IFERROR(INDEX('판매구성'!$B$2:$B$501,MATCH(C213,'판매구성'!$A$2:$A$501,0)),""))</f>
        <v/>
      </c>
      <c r="G213" s="3" t="n"/>
      <c r="I213" s="2">
        <f>IF(C213="","",IFERROR(INDEX('판매구성'!$C$2:$C$501,MATCH(C213,'판매구성'!$A$2:$A$501,0)),""))</f>
        <v/>
      </c>
      <c r="J213" s="4">
        <f>IF(OR(C213="",E213=""),"",IFERROR(IF(INDEX('가격표'!$D$2:$K$501,MATCH(C213,'가격표'!$A$2:$A$501,0),MATCH(E213,'가격표'!$D$1:$K$1,0))="","",INDEX('가격표'!$D$2:$K$501,MATCH(C213,'가격표'!$A$2:$A$501,0),MATCH(E213,'가격표'!$D$1:$K$1,0))),""))</f>
        <v/>
      </c>
      <c r="K213" s="4">
        <f>IF(C213="","",IFERROR(INDEX('판매구성'!$D$2:$D$501,MATCH(C213,'판매구성'!$A$2:$A$501,0)),""))</f>
        <v/>
      </c>
      <c r="L213" s="4">
        <f>IF(OR(J213="",K213=""),"",ROUND(J213-(J213-K213)*'설정'!$B$2,0))</f>
        <v/>
      </c>
      <c r="M213" s="4">
        <f>IF(OR(A213="",J213=""),"",ROUND(J213*N(IFERROR(INDEX('판매채널'!$F$2:$F$501,MATCH(A213,'판매채널'!$A$2:$A$501,0)),"")),0))</f>
        <v/>
      </c>
      <c r="N213" s="4">
        <f>IF(OR(J213="",K213=""),"",J213-M213-K213)</f>
        <v/>
      </c>
      <c r="O213" s="5">
        <f>IF(OR(J213="",J213=0),"",N213/J213)</f>
        <v/>
      </c>
    </row>
    <row r="214">
      <c r="B214" s="2">
        <f>IF(A214="","",IFERROR(INDEX('판매채널'!$B$2:$B$501,MATCH(A214,'판매채널'!$A$2:$A$501,0)),""))</f>
        <v/>
      </c>
      <c r="D214" s="2">
        <f>IF(C214="","",IFERROR(INDEX('판매구성'!$B$2:$B$501,MATCH(C214,'판매구성'!$A$2:$A$501,0)),""))</f>
        <v/>
      </c>
      <c r="G214" s="3" t="n"/>
      <c r="I214" s="2">
        <f>IF(C214="","",IFERROR(INDEX('판매구성'!$C$2:$C$501,MATCH(C214,'판매구성'!$A$2:$A$501,0)),""))</f>
        <v/>
      </c>
      <c r="J214" s="4">
        <f>IF(OR(C214="",E214=""),"",IFERROR(IF(INDEX('가격표'!$D$2:$K$501,MATCH(C214,'가격표'!$A$2:$A$501,0),MATCH(E214,'가격표'!$D$1:$K$1,0))="","",INDEX('가격표'!$D$2:$K$501,MATCH(C214,'가격표'!$A$2:$A$501,0),MATCH(E214,'가격표'!$D$1:$K$1,0))),""))</f>
        <v/>
      </c>
      <c r="K214" s="4">
        <f>IF(C214="","",IFERROR(INDEX('판매구성'!$D$2:$D$501,MATCH(C214,'판매구성'!$A$2:$A$501,0)),""))</f>
        <v/>
      </c>
      <c r="L214" s="4">
        <f>IF(OR(J214="",K214=""),"",ROUND(J214-(J214-K214)*'설정'!$B$2,0))</f>
        <v/>
      </c>
      <c r="M214" s="4">
        <f>IF(OR(A214="",J214=""),"",ROUND(J214*N(IFERROR(INDEX('판매채널'!$F$2:$F$501,MATCH(A214,'판매채널'!$A$2:$A$501,0)),"")),0))</f>
        <v/>
      </c>
      <c r="N214" s="4">
        <f>IF(OR(J214="",K214=""),"",J214-M214-K214)</f>
        <v/>
      </c>
      <c r="O214" s="5">
        <f>IF(OR(J214="",J214=0),"",N214/J214)</f>
        <v/>
      </c>
    </row>
    <row r="215">
      <c r="B215" s="2">
        <f>IF(A215="","",IFERROR(INDEX('판매채널'!$B$2:$B$501,MATCH(A215,'판매채널'!$A$2:$A$501,0)),""))</f>
        <v/>
      </c>
      <c r="D215" s="2">
        <f>IF(C215="","",IFERROR(INDEX('판매구성'!$B$2:$B$501,MATCH(C215,'판매구성'!$A$2:$A$501,0)),""))</f>
        <v/>
      </c>
      <c r="G215" s="3" t="n"/>
      <c r="I215" s="2">
        <f>IF(C215="","",IFERROR(INDEX('판매구성'!$C$2:$C$501,MATCH(C215,'판매구성'!$A$2:$A$501,0)),""))</f>
        <v/>
      </c>
      <c r="J215" s="4">
        <f>IF(OR(C215="",E215=""),"",IFERROR(IF(INDEX('가격표'!$D$2:$K$501,MATCH(C215,'가격표'!$A$2:$A$501,0),MATCH(E215,'가격표'!$D$1:$K$1,0))="","",INDEX('가격표'!$D$2:$K$501,MATCH(C215,'가격표'!$A$2:$A$501,0),MATCH(E215,'가격표'!$D$1:$K$1,0))),""))</f>
        <v/>
      </c>
      <c r="K215" s="4">
        <f>IF(C215="","",IFERROR(INDEX('판매구성'!$D$2:$D$501,MATCH(C215,'판매구성'!$A$2:$A$501,0)),""))</f>
        <v/>
      </c>
      <c r="L215" s="4">
        <f>IF(OR(J215="",K215=""),"",ROUND(J215-(J215-K215)*'설정'!$B$2,0))</f>
        <v/>
      </c>
      <c r="M215" s="4">
        <f>IF(OR(A215="",J215=""),"",ROUND(J215*N(IFERROR(INDEX('판매채널'!$F$2:$F$501,MATCH(A215,'판매채널'!$A$2:$A$501,0)),"")),0))</f>
        <v/>
      </c>
      <c r="N215" s="4">
        <f>IF(OR(J215="",K215=""),"",J215-M215-K215)</f>
        <v/>
      </c>
      <c r="O215" s="5">
        <f>IF(OR(J215="",J215=0),"",N215/J215)</f>
        <v/>
      </c>
    </row>
    <row r="216">
      <c r="B216" s="2">
        <f>IF(A216="","",IFERROR(INDEX('판매채널'!$B$2:$B$501,MATCH(A216,'판매채널'!$A$2:$A$501,0)),""))</f>
        <v/>
      </c>
      <c r="D216" s="2">
        <f>IF(C216="","",IFERROR(INDEX('판매구성'!$B$2:$B$501,MATCH(C216,'판매구성'!$A$2:$A$501,0)),""))</f>
        <v/>
      </c>
      <c r="G216" s="3" t="n"/>
      <c r="I216" s="2">
        <f>IF(C216="","",IFERROR(INDEX('판매구성'!$C$2:$C$501,MATCH(C216,'판매구성'!$A$2:$A$501,0)),""))</f>
        <v/>
      </c>
      <c r="J216" s="4">
        <f>IF(OR(C216="",E216=""),"",IFERROR(IF(INDEX('가격표'!$D$2:$K$501,MATCH(C216,'가격표'!$A$2:$A$501,0),MATCH(E216,'가격표'!$D$1:$K$1,0))="","",INDEX('가격표'!$D$2:$K$501,MATCH(C216,'가격표'!$A$2:$A$501,0),MATCH(E216,'가격표'!$D$1:$K$1,0))),""))</f>
        <v/>
      </c>
      <c r="K216" s="4">
        <f>IF(C216="","",IFERROR(INDEX('판매구성'!$D$2:$D$501,MATCH(C216,'판매구성'!$A$2:$A$501,0)),""))</f>
        <v/>
      </c>
      <c r="L216" s="4">
        <f>IF(OR(J216="",K216=""),"",ROUND(J216-(J216-K216)*'설정'!$B$2,0))</f>
        <v/>
      </c>
      <c r="M216" s="4">
        <f>IF(OR(A216="",J216=""),"",ROUND(J216*N(IFERROR(INDEX('판매채널'!$F$2:$F$501,MATCH(A216,'판매채널'!$A$2:$A$501,0)),"")),0))</f>
        <v/>
      </c>
      <c r="N216" s="4">
        <f>IF(OR(J216="",K216=""),"",J216-M216-K216)</f>
        <v/>
      </c>
      <c r="O216" s="5">
        <f>IF(OR(J216="",J216=0),"",N216/J216)</f>
        <v/>
      </c>
    </row>
    <row r="217">
      <c r="B217" s="2">
        <f>IF(A217="","",IFERROR(INDEX('판매채널'!$B$2:$B$501,MATCH(A217,'판매채널'!$A$2:$A$501,0)),""))</f>
        <v/>
      </c>
      <c r="D217" s="2">
        <f>IF(C217="","",IFERROR(INDEX('판매구성'!$B$2:$B$501,MATCH(C217,'판매구성'!$A$2:$A$501,0)),""))</f>
        <v/>
      </c>
      <c r="G217" s="3" t="n"/>
      <c r="I217" s="2">
        <f>IF(C217="","",IFERROR(INDEX('판매구성'!$C$2:$C$501,MATCH(C217,'판매구성'!$A$2:$A$501,0)),""))</f>
        <v/>
      </c>
      <c r="J217" s="4">
        <f>IF(OR(C217="",E217=""),"",IFERROR(IF(INDEX('가격표'!$D$2:$K$501,MATCH(C217,'가격표'!$A$2:$A$501,0),MATCH(E217,'가격표'!$D$1:$K$1,0))="","",INDEX('가격표'!$D$2:$K$501,MATCH(C217,'가격표'!$A$2:$A$501,0),MATCH(E217,'가격표'!$D$1:$K$1,0))),""))</f>
        <v/>
      </c>
      <c r="K217" s="4">
        <f>IF(C217="","",IFERROR(INDEX('판매구성'!$D$2:$D$501,MATCH(C217,'판매구성'!$A$2:$A$501,0)),""))</f>
        <v/>
      </c>
      <c r="L217" s="4">
        <f>IF(OR(J217="",K217=""),"",ROUND(J217-(J217-K217)*'설정'!$B$2,0))</f>
        <v/>
      </c>
      <c r="M217" s="4">
        <f>IF(OR(A217="",J217=""),"",ROUND(J217*N(IFERROR(INDEX('판매채널'!$F$2:$F$501,MATCH(A217,'판매채널'!$A$2:$A$501,0)),"")),0))</f>
        <v/>
      </c>
      <c r="N217" s="4">
        <f>IF(OR(J217="",K217=""),"",J217-M217-K217)</f>
        <v/>
      </c>
      <c r="O217" s="5">
        <f>IF(OR(J217="",J217=0),"",N217/J217)</f>
        <v/>
      </c>
    </row>
    <row r="218">
      <c r="B218" s="2">
        <f>IF(A218="","",IFERROR(INDEX('판매채널'!$B$2:$B$501,MATCH(A218,'판매채널'!$A$2:$A$501,0)),""))</f>
        <v/>
      </c>
      <c r="D218" s="2">
        <f>IF(C218="","",IFERROR(INDEX('판매구성'!$B$2:$B$501,MATCH(C218,'판매구성'!$A$2:$A$501,0)),""))</f>
        <v/>
      </c>
      <c r="G218" s="3" t="n"/>
      <c r="I218" s="2">
        <f>IF(C218="","",IFERROR(INDEX('판매구성'!$C$2:$C$501,MATCH(C218,'판매구성'!$A$2:$A$501,0)),""))</f>
        <v/>
      </c>
      <c r="J218" s="4">
        <f>IF(OR(C218="",E218=""),"",IFERROR(IF(INDEX('가격표'!$D$2:$K$501,MATCH(C218,'가격표'!$A$2:$A$501,0),MATCH(E218,'가격표'!$D$1:$K$1,0))="","",INDEX('가격표'!$D$2:$K$501,MATCH(C218,'가격표'!$A$2:$A$501,0),MATCH(E218,'가격표'!$D$1:$K$1,0))),""))</f>
        <v/>
      </c>
      <c r="K218" s="4">
        <f>IF(C218="","",IFERROR(INDEX('판매구성'!$D$2:$D$501,MATCH(C218,'판매구성'!$A$2:$A$501,0)),""))</f>
        <v/>
      </c>
      <c r="L218" s="4">
        <f>IF(OR(J218="",K218=""),"",ROUND(J218-(J218-K218)*'설정'!$B$2,0))</f>
        <v/>
      </c>
      <c r="M218" s="4">
        <f>IF(OR(A218="",J218=""),"",ROUND(J218*N(IFERROR(INDEX('판매채널'!$F$2:$F$501,MATCH(A218,'판매채널'!$A$2:$A$501,0)),"")),0))</f>
        <v/>
      </c>
      <c r="N218" s="4">
        <f>IF(OR(J218="",K218=""),"",J218-M218-K218)</f>
        <v/>
      </c>
      <c r="O218" s="5">
        <f>IF(OR(J218="",J218=0),"",N218/J218)</f>
        <v/>
      </c>
    </row>
    <row r="219">
      <c r="B219" s="2">
        <f>IF(A219="","",IFERROR(INDEX('판매채널'!$B$2:$B$501,MATCH(A219,'판매채널'!$A$2:$A$501,0)),""))</f>
        <v/>
      </c>
      <c r="D219" s="2">
        <f>IF(C219="","",IFERROR(INDEX('판매구성'!$B$2:$B$501,MATCH(C219,'판매구성'!$A$2:$A$501,0)),""))</f>
        <v/>
      </c>
      <c r="G219" s="3" t="n"/>
      <c r="I219" s="2">
        <f>IF(C219="","",IFERROR(INDEX('판매구성'!$C$2:$C$501,MATCH(C219,'판매구성'!$A$2:$A$501,0)),""))</f>
        <v/>
      </c>
      <c r="J219" s="4">
        <f>IF(OR(C219="",E219=""),"",IFERROR(IF(INDEX('가격표'!$D$2:$K$501,MATCH(C219,'가격표'!$A$2:$A$501,0),MATCH(E219,'가격표'!$D$1:$K$1,0))="","",INDEX('가격표'!$D$2:$K$501,MATCH(C219,'가격표'!$A$2:$A$501,0),MATCH(E219,'가격표'!$D$1:$K$1,0))),""))</f>
        <v/>
      </c>
      <c r="K219" s="4">
        <f>IF(C219="","",IFERROR(INDEX('판매구성'!$D$2:$D$501,MATCH(C219,'판매구성'!$A$2:$A$501,0)),""))</f>
        <v/>
      </c>
      <c r="L219" s="4">
        <f>IF(OR(J219="",K219=""),"",ROUND(J219-(J219-K219)*'설정'!$B$2,0))</f>
        <v/>
      </c>
      <c r="M219" s="4">
        <f>IF(OR(A219="",J219=""),"",ROUND(J219*N(IFERROR(INDEX('판매채널'!$F$2:$F$501,MATCH(A219,'판매채널'!$A$2:$A$501,0)),"")),0))</f>
        <v/>
      </c>
      <c r="N219" s="4">
        <f>IF(OR(J219="",K219=""),"",J219-M219-K219)</f>
        <v/>
      </c>
      <c r="O219" s="5">
        <f>IF(OR(J219="",J219=0),"",N219/J219)</f>
        <v/>
      </c>
    </row>
    <row r="220">
      <c r="B220" s="2">
        <f>IF(A220="","",IFERROR(INDEX('판매채널'!$B$2:$B$501,MATCH(A220,'판매채널'!$A$2:$A$501,0)),""))</f>
        <v/>
      </c>
      <c r="D220" s="2">
        <f>IF(C220="","",IFERROR(INDEX('판매구성'!$B$2:$B$501,MATCH(C220,'판매구성'!$A$2:$A$501,0)),""))</f>
        <v/>
      </c>
      <c r="G220" s="3" t="n"/>
      <c r="I220" s="2">
        <f>IF(C220="","",IFERROR(INDEX('판매구성'!$C$2:$C$501,MATCH(C220,'판매구성'!$A$2:$A$501,0)),""))</f>
        <v/>
      </c>
      <c r="J220" s="4">
        <f>IF(OR(C220="",E220=""),"",IFERROR(IF(INDEX('가격표'!$D$2:$K$501,MATCH(C220,'가격표'!$A$2:$A$501,0),MATCH(E220,'가격표'!$D$1:$K$1,0))="","",INDEX('가격표'!$D$2:$K$501,MATCH(C220,'가격표'!$A$2:$A$501,0),MATCH(E220,'가격표'!$D$1:$K$1,0))),""))</f>
        <v/>
      </c>
      <c r="K220" s="4">
        <f>IF(C220="","",IFERROR(INDEX('판매구성'!$D$2:$D$501,MATCH(C220,'판매구성'!$A$2:$A$501,0)),""))</f>
        <v/>
      </c>
      <c r="L220" s="4">
        <f>IF(OR(J220="",K220=""),"",ROUND(J220-(J220-K220)*'설정'!$B$2,0))</f>
        <v/>
      </c>
      <c r="M220" s="4">
        <f>IF(OR(A220="",J220=""),"",ROUND(J220*N(IFERROR(INDEX('판매채널'!$F$2:$F$501,MATCH(A220,'판매채널'!$A$2:$A$501,0)),"")),0))</f>
        <v/>
      </c>
      <c r="N220" s="4">
        <f>IF(OR(J220="",K220=""),"",J220-M220-K220)</f>
        <v/>
      </c>
      <c r="O220" s="5">
        <f>IF(OR(J220="",J220=0),"",N220/J220)</f>
        <v/>
      </c>
    </row>
    <row r="221">
      <c r="B221" s="2">
        <f>IF(A221="","",IFERROR(INDEX('판매채널'!$B$2:$B$501,MATCH(A221,'판매채널'!$A$2:$A$501,0)),""))</f>
        <v/>
      </c>
      <c r="D221" s="2">
        <f>IF(C221="","",IFERROR(INDEX('판매구성'!$B$2:$B$501,MATCH(C221,'판매구성'!$A$2:$A$501,0)),""))</f>
        <v/>
      </c>
      <c r="G221" s="3" t="n"/>
      <c r="I221" s="2">
        <f>IF(C221="","",IFERROR(INDEX('판매구성'!$C$2:$C$501,MATCH(C221,'판매구성'!$A$2:$A$501,0)),""))</f>
        <v/>
      </c>
      <c r="J221" s="4">
        <f>IF(OR(C221="",E221=""),"",IFERROR(IF(INDEX('가격표'!$D$2:$K$501,MATCH(C221,'가격표'!$A$2:$A$501,0),MATCH(E221,'가격표'!$D$1:$K$1,0))="","",INDEX('가격표'!$D$2:$K$501,MATCH(C221,'가격표'!$A$2:$A$501,0),MATCH(E221,'가격표'!$D$1:$K$1,0))),""))</f>
        <v/>
      </c>
      <c r="K221" s="4">
        <f>IF(C221="","",IFERROR(INDEX('판매구성'!$D$2:$D$501,MATCH(C221,'판매구성'!$A$2:$A$501,0)),""))</f>
        <v/>
      </c>
      <c r="L221" s="4">
        <f>IF(OR(J221="",K221=""),"",ROUND(J221-(J221-K221)*'설정'!$B$2,0))</f>
        <v/>
      </c>
      <c r="M221" s="4">
        <f>IF(OR(A221="",J221=""),"",ROUND(J221*N(IFERROR(INDEX('판매채널'!$F$2:$F$501,MATCH(A221,'판매채널'!$A$2:$A$501,0)),"")),0))</f>
        <v/>
      </c>
      <c r="N221" s="4">
        <f>IF(OR(J221="",K221=""),"",J221-M221-K221)</f>
        <v/>
      </c>
      <c r="O221" s="5">
        <f>IF(OR(J221="",J221=0),"",N221/J221)</f>
        <v/>
      </c>
    </row>
    <row r="222">
      <c r="B222" s="2">
        <f>IF(A222="","",IFERROR(INDEX('판매채널'!$B$2:$B$501,MATCH(A222,'판매채널'!$A$2:$A$501,0)),""))</f>
        <v/>
      </c>
      <c r="D222" s="2">
        <f>IF(C222="","",IFERROR(INDEX('판매구성'!$B$2:$B$501,MATCH(C222,'판매구성'!$A$2:$A$501,0)),""))</f>
        <v/>
      </c>
      <c r="G222" s="3" t="n"/>
      <c r="I222" s="2">
        <f>IF(C222="","",IFERROR(INDEX('판매구성'!$C$2:$C$501,MATCH(C222,'판매구성'!$A$2:$A$501,0)),""))</f>
        <v/>
      </c>
      <c r="J222" s="4">
        <f>IF(OR(C222="",E222=""),"",IFERROR(IF(INDEX('가격표'!$D$2:$K$501,MATCH(C222,'가격표'!$A$2:$A$501,0),MATCH(E222,'가격표'!$D$1:$K$1,0))="","",INDEX('가격표'!$D$2:$K$501,MATCH(C222,'가격표'!$A$2:$A$501,0),MATCH(E222,'가격표'!$D$1:$K$1,0))),""))</f>
        <v/>
      </c>
      <c r="K222" s="4">
        <f>IF(C222="","",IFERROR(INDEX('판매구성'!$D$2:$D$501,MATCH(C222,'판매구성'!$A$2:$A$501,0)),""))</f>
        <v/>
      </c>
      <c r="L222" s="4">
        <f>IF(OR(J222="",K222=""),"",ROUND(J222-(J222-K222)*'설정'!$B$2,0))</f>
        <v/>
      </c>
      <c r="M222" s="4">
        <f>IF(OR(A222="",J222=""),"",ROUND(J222*N(IFERROR(INDEX('판매채널'!$F$2:$F$501,MATCH(A222,'판매채널'!$A$2:$A$501,0)),"")),0))</f>
        <v/>
      </c>
      <c r="N222" s="4">
        <f>IF(OR(J222="",K222=""),"",J222-M222-K222)</f>
        <v/>
      </c>
      <c r="O222" s="5">
        <f>IF(OR(J222="",J222=0),"",N222/J222)</f>
        <v/>
      </c>
    </row>
    <row r="223">
      <c r="B223" s="2">
        <f>IF(A223="","",IFERROR(INDEX('판매채널'!$B$2:$B$501,MATCH(A223,'판매채널'!$A$2:$A$501,0)),""))</f>
        <v/>
      </c>
      <c r="D223" s="2">
        <f>IF(C223="","",IFERROR(INDEX('판매구성'!$B$2:$B$501,MATCH(C223,'판매구성'!$A$2:$A$501,0)),""))</f>
        <v/>
      </c>
      <c r="G223" s="3" t="n"/>
      <c r="I223" s="2">
        <f>IF(C223="","",IFERROR(INDEX('판매구성'!$C$2:$C$501,MATCH(C223,'판매구성'!$A$2:$A$501,0)),""))</f>
        <v/>
      </c>
      <c r="J223" s="4">
        <f>IF(OR(C223="",E223=""),"",IFERROR(IF(INDEX('가격표'!$D$2:$K$501,MATCH(C223,'가격표'!$A$2:$A$501,0),MATCH(E223,'가격표'!$D$1:$K$1,0))="","",INDEX('가격표'!$D$2:$K$501,MATCH(C223,'가격표'!$A$2:$A$501,0),MATCH(E223,'가격표'!$D$1:$K$1,0))),""))</f>
        <v/>
      </c>
      <c r="K223" s="4">
        <f>IF(C223="","",IFERROR(INDEX('판매구성'!$D$2:$D$501,MATCH(C223,'판매구성'!$A$2:$A$501,0)),""))</f>
        <v/>
      </c>
      <c r="L223" s="4">
        <f>IF(OR(J223="",K223=""),"",ROUND(J223-(J223-K223)*'설정'!$B$2,0))</f>
        <v/>
      </c>
      <c r="M223" s="4">
        <f>IF(OR(A223="",J223=""),"",ROUND(J223*N(IFERROR(INDEX('판매채널'!$F$2:$F$501,MATCH(A223,'판매채널'!$A$2:$A$501,0)),"")),0))</f>
        <v/>
      </c>
      <c r="N223" s="4">
        <f>IF(OR(J223="",K223=""),"",J223-M223-K223)</f>
        <v/>
      </c>
      <c r="O223" s="5">
        <f>IF(OR(J223="",J223=0),"",N223/J223)</f>
        <v/>
      </c>
    </row>
    <row r="224">
      <c r="B224" s="2">
        <f>IF(A224="","",IFERROR(INDEX('판매채널'!$B$2:$B$501,MATCH(A224,'판매채널'!$A$2:$A$501,0)),""))</f>
        <v/>
      </c>
      <c r="D224" s="2">
        <f>IF(C224="","",IFERROR(INDEX('판매구성'!$B$2:$B$501,MATCH(C224,'판매구성'!$A$2:$A$501,0)),""))</f>
        <v/>
      </c>
      <c r="G224" s="3" t="n"/>
      <c r="I224" s="2">
        <f>IF(C224="","",IFERROR(INDEX('판매구성'!$C$2:$C$501,MATCH(C224,'판매구성'!$A$2:$A$501,0)),""))</f>
        <v/>
      </c>
      <c r="J224" s="4">
        <f>IF(OR(C224="",E224=""),"",IFERROR(IF(INDEX('가격표'!$D$2:$K$501,MATCH(C224,'가격표'!$A$2:$A$501,0),MATCH(E224,'가격표'!$D$1:$K$1,0))="","",INDEX('가격표'!$D$2:$K$501,MATCH(C224,'가격표'!$A$2:$A$501,0),MATCH(E224,'가격표'!$D$1:$K$1,0))),""))</f>
        <v/>
      </c>
      <c r="K224" s="4">
        <f>IF(C224="","",IFERROR(INDEX('판매구성'!$D$2:$D$501,MATCH(C224,'판매구성'!$A$2:$A$501,0)),""))</f>
        <v/>
      </c>
      <c r="L224" s="4">
        <f>IF(OR(J224="",K224=""),"",ROUND(J224-(J224-K224)*'설정'!$B$2,0))</f>
        <v/>
      </c>
      <c r="M224" s="4">
        <f>IF(OR(A224="",J224=""),"",ROUND(J224*N(IFERROR(INDEX('판매채널'!$F$2:$F$501,MATCH(A224,'판매채널'!$A$2:$A$501,0)),"")),0))</f>
        <v/>
      </c>
      <c r="N224" s="4">
        <f>IF(OR(J224="",K224=""),"",J224-M224-K224)</f>
        <v/>
      </c>
      <c r="O224" s="5">
        <f>IF(OR(J224="",J224=0),"",N224/J224)</f>
        <v/>
      </c>
    </row>
    <row r="225">
      <c r="B225" s="2">
        <f>IF(A225="","",IFERROR(INDEX('판매채널'!$B$2:$B$501,MATCH(A225,'판매채널'!$A$2:$A$501,0)),""))</f>
        <v/>
      </c>
      <c r="D225" s="2">
        <f>IF(C225="","",IFERROR(INDEX('판매구성'!$B$2:$B$501,MATCH(C225,'판매구성'!$A$2:$A$501,0)),""))</f>
        <v/>
      </c>
      <c r="G225" s="3" t="n"/>
      <c r="I225" s="2">
        <f>IF(C225="","",IFERROR(INDEX('판매구성'!$C$2:$C$501,MATCH(C225,'판매구성'!$A$2:$A$501,0)),""))</f>
        <v/>
      </c>
      <c r="J225" s="4">
        <f>IF(OR(C225="",E225=""),"",IFERROR(IF(INDEX('가격표'!$D$2:$K$501,MATCH(C225,'가격표'!$A$2:$A$501,0),MATCH(E225,'가격표'!$D$1:$K$1,0))="","",INDEX('가격표'!$D$2:$K$501,MATCH(C225,'가격표'!$A$2:$A$501,0),MATCH(E225,'가격표'!$D$1:$K$1,0))),""))</f>
        <v/>
      </c>
      <c r="K225" s="4">
        <f>IF(C225="","",IFERROR(INDEX('판매구성'!$D$2:$D$501,MATCH(C225,'판매구성'!$A$2:$A$501,0)),""))</f>
        <v/>
      </c>
      <c r="L225" s="4">
        <f>IF(OR(J225="",K225=""),"",ROUND(J225-(J225-K225)*'설정'!$B$2,0))</f>
        <v/>
      </c>
      <c r="M225" s="4">
        <f>IF(OR(A225="",J225=""),"",ROUND(J225*N(IFERROR(INDEX('판매채널'!$F$2:$F$501,MATCH(A225,'판매채널'!$A$2:$A$501,0)),"")),0))</f>
        <v/>
      </c>
      <c r="N225" s="4">
        <f>IF(OR(J225="",K225=""),"",J225-M225-K225)</f>
        <v/>
      </c>
      <c r="O225" s="5">
        <f>IF(OR(J225="",J225=0),"",N225/J225)</f>
        <v/>
      </c>
    </row>
    <row r="226">
      <c r="B226" s="2">
        <f>IF(A226="","",IFERROR(INDEX('판매채널'!$B$2:$B$501,MATCH(A226,'판매채널'!$A$2:$A$501,0)),""))</f>
        <v/>
      </c>
      <c r="D226" s="2">
        <f>IF(C226="","",IFERROR(INDEX('판매구성'!$B$2:$B$501,MATCH(C226,'판매구성'!$A$2:$A$501,0)),""))</f>
        <v/>
      </c>
      <c r="G226" s="3" t="n"/>
      <c r="I226" s="2">
        <f>IF(C226="","",IFERROR(INDEX('판매구성'!$C$2:$C$501,MATCH(C226,'판매구성'!$A$2:$A$501,0)),""))</f>
        <v/>
      </c>
      <c r="J226" s="4">
        <f>IF(OR(C226="",E226=""),"",IFERROR(IF(INDEX('가격표'!$D$2:$K$501,MATCH(C226,'가격표'!$A$2:$A$501,0),MATCH(E226,'가격표'!$D$1:$K$1,0))="","",INDEX('가격표'!$D$2:$K$501,MATCH(C226,'가격표'!$A$2:$A$501,0),MATCH(E226,'가격표'!$D$1:$K$1,0))),""))</f>
        <v/>
      </c>
      <c r="K226" s="4">
        <f>IF(C226="","",IFERROR(INDEX('판매구성'!$D$2:$D$501,MATCH(C226,'판매구성'!$A$2:$A$501,0)),""))</f>
        <v/>
      </c>
      <c r="L226" s="4">
        <f>IF(OR(J226="",K226=""),"",ROUND(J226-(J226-K226)*'설정'!$B$2,0))</f>
        <v/>
      </c>
      <c r="M226" s="4">
        <f>IF(OR(A226="",J226=""),"",ROUND(J226*N(IFERROR(INDEX('판매채널'!$F$2:$F$501,MATCH(A226,'판매채널'!$A$2:$A$501,0)),"")),0))</f>
        <v/>
      </c>
      <c r="N226" s="4">
        <f>IF(OR(J226="",K226=""),"",J226-M226-K226)</f>
        <v/>
      </c>
      <c r="O226" s="5">
        <f>IF(OR(J226="",J226=0),"",N226/J226)</f>
        <v/>
      </c>
    </row>
    <row r="227">
      <c r="B227" s="2">
        <f>IF(A227="","",IFERROR(INDEX('판매채널'!$B$2:$B$501,MATCH(A227,'판매채널'!$A$2:$A$501,0)),""))</f>
        <v/>
      </c>
      <c r="D227" s="2">
        <f>IF(C227="","",IFERROR(INDEX('판매구성'!$B$2:$B$501,MATCH(C227,'판매구성'!$A$2:$A$501,0)),""))</f>
        <v/>
      </c>
      <c r="G227" s="3" t="n"/>
      <c r="I227" s="2">
        <f>IF(C227="","",IFERROR(INDEX('판매구성'!$C$2:$C$501,MATCH(C227,'판매구성'!$A$2:$A$501,0)),""))</f>
        <v/>
      </c>
      <c r="J227" s="4">
        <f>IF(OR(C227="",E227=""),"",IFERROR(IF(INDEX('가격표'!$D$2:$K$501,MATCH(C227,'가격표'!$A$2:$A$501,0),MATCH(E227,'가격표'!$D$1:$K$1,0))="","",INDEX('가격표'!$D$2:$K$501,MATCH(C227,'가격표'!$A$2:$A$501,0),MATCH(E227,'가격표'!$D$1:$K$1,0))),""))</f>
        <v/>
      </c>
      <c r="K227" s="4">
        <f>IF(C227="","",IFERROR(INDEX('판매구성'!$D$2:$D$501,MATCH(C227,'판매구성'!$A$2:$A$501,0)),""))</f>
        <v/>
      </c>
      <c r="L227" s="4">
        <f>IF(OR(J227="",K227=""),"",ROUND(J227-(J227-K227)*'설정'!$B$2,0))</f>
        <v/>
      </c>
      <c r="M227" s="4">
        <f>IF(OR(A227="",J227=""),"",ROUND(J227*N(IFERROR(INDEX('판매채널'!$F$2:$F$501,MATCH(A227,'판매채널'!$A$2:$A$501,0)),"")),0))</f>
        <v/>
      </c>
      <c r="N227" s="4">
        <f>IF(OR(J227="",K227=""),"",J227-M227-K227)</f>
        <v/>
      </c>
      <c r="O227" s="5">
        <f>IF(OR(J227="",J227=0),"",N227/J227)</f>
        <v/>
      </c>
    </row>
    <row r="228">
      <c r="B228" s="2">
        <f>IF(A228="","",IFERROR(INDEX('판매채널'!$B$2:$B$501,MATCH(A228,'판매채널'!$A$2:$A$501,0)),""))</f>
        <v/>
      </c>
      <c r="D228" s="2">
        <f>IF(C228="","",IFERROR(INDEX('판매구성'!$B$2:$B$501,MATCH(C228,'판매구성'!$A$2:$A$501,0)),""))</f>
        <v/>
      </c>
      <c r="G228" s="3" t="n"/>
      <c r="I228" s="2">
        <f>IF(C228="","",IFERROR(INDEX('판매구성'!$C$2:$C$501,MATCH(C228,'판매구성'!$A$2:$A$501,0)),""))</f>
        <v/>
      </c>
      <c r="J228" s="4">
        <f>IF(OR(C228="",E228=""),"",IFERROR(IF(INDEX('가격표'!$D$2:$K$501,MATCH(C228,'가격표'!$A$2:$A$501,0),MATCH(E228,'가격표'!$D$1:$K$1,0))="","",INDEX('가격표'!$D$2:$K$501,MATCH(C228,'가격표'!$A$2:$A$501,0),MATCH(E228,'가격표'!$D$1:$K$1,0))),""))</f>
        <v/>
      </c>
      <c r="K228" s="4">
        <f>IF(C228="","",IFERROR(INDEX('판매구성'!$D$2:$D$501,MATCH(C228,'판매구성'!$A$2:$A$501,0)),""))</f>
        <v/>
      </c>
      <c r="L228" s="4">
        <f>IF(OR(J228="",K228=""),"",ROUND(J228-(J228-K228)*'설정'!$B$2,0))</f>
        <v/>
      </c>
      <c r="M228" s="4">
        <f>IF(OR(A228="",J228=""),"",ROUND(J228*N(IFERROR(INDEX('판매채널'!$F$2:$F$501,MATCH(A228,'판매채널'!$A$2:$A$501,0)),"")),0))</f>
        <v/>
      </c>
      <c r="N228" s="4">
        <f>IF(OR(J228="",K228=""),"",J228-M228-K228)</f>
        <v/>
      </c>
      <c r="O228" s="5">
        <f>IF(OR(J228="",J228=0),"",N228/J228)</f>
        <v/>
      </c>
    </row>
    <row r="229">
      <c r="B229" s="2">
        <f>IF(A229="","",IFERROR(INDEX('판매채널'!$B$2:$B$501,MATCH(A229,'판매채널'!$A$2:$A$501,0)),""))</f>
        <v/>
      </c>
      <c r="D229" s="2">
        <f>IF(C229="","",IFERROR(INDEX('판매구성'!$B$2:$B$501,MATCH(C229,'판매구성'!$A$2:$A$501,0)),""))</f>
        <v/>
      </c>
      <c r="G229" s="3" t="n"/>
      <c r="I229" s="2">
        <f>IF(C229="","",IFERROR(INDEX('판매구성'!$C$2:$C$501,MATCH(C229,'판매구성'!$A$2:$A$501,0)),""))</f>
        <v/>
      </c>
      <c r="J229" s="4">
        <f>IF(OR(C229="",E229=""),"",IFERROR(IF(INDEX('가격표'!$D$2:$K$501,MATCH(C229,'가격표'!$A$2:$A$501,0),MATCH(E229,'가격표'!$D$1:$K$1,0))="","",INDEX('가격표'!$D$2:$K$501,MATCH(C229,'가격표'!$A$2:$A$501,0),MATCH(E229,'가격표'!$D$1:$K$1,0))),""))</f>
        <v/>
      </c>
      <c r="K229" s="4">
        <f>IF(C229="","",IFERROR(INDEX('판매구성'!$D$2:$D$501,MATCH(C229,'판매구성'!$A$2:$A$501,0)),""))</f>
        <v/>
      </c>
      <c r="L229" s="4">
        <f>IF(OR(J229="",K229=""),"",ROUND(J229-(J229-K229)*'설정'!$B$2,0))</f>
        <v/>
      </c>
      <c r="M229" s="4">
        <f>IF(OR(A229="",J229=""),"",ROUND(J229*N(IFERROR(INDEX('판매채널'!$F$2:$F$501,MATCH(A229,'판매채널'!$A$2:$A$501,0)),"")),0))</f>
        <v/>
      </c>
      <c r="N229" s="4">
        <f>IF(OR(J229="",K229=""),"",J229-M229-K229)</f>
        <v/>
      </c>
      <c r="O229" s="5">
        <f>IF(OR(J229="",J229=0),"",N229/J229)</f>
        <v/>
      </c>
    </row>
    <row r="230">
      <c r="B230" s="2">
        <f>IF(A230="","",IFERROR(INDEX('판매채널'!$B$2:$B$501,MATCH(A230,'판매채널'!$A$2:$A$501,0)),""))</f>
        <v/>
      </c>
      <c r="D230" s="2">
        <f>IF(C230="","",IFERROR(INDEX('판매구성'!$B$2:$B$501,MATCH(C230,'판매구성'!$A$2:$A$501,0)),""))</f>
        <v/>
      </c>
      <c r="G230" s="3" t="n"/>
      <c r="I230" s="2">
        <f>IF(C230="","",IFERROR(INDEX('판매구성'!$C$2:$C$501,MATCH(C230,'판매구성'!$A$2:$A$501,0)),""))</f>
        <v/>
      </c>
      <c r="J230" s="4">
        <f>IF(OR(C230="",E230=""),"",IFERROR(IF(INDEX('가격표'!$D$2:$K$501,MATCH(C230,'가격표'!$A$2:$A$501,0),MATCH(E230,'가격표'!$D$1:$K$1,0))="","",INDEX('가격표'!$D$2:$K$501,MATCH(C230,'가격표'!$A$2:$A$501,0),MATCH(E230,'가격표'!$D$1:$K$1,0))),""))</f>
        <v/>
      </c>
      <c r="K230" s="4">
        <f>IF(C230="","",IFERROR(INDEX('판매구성'!$D$2:$D$501,MATCH(C230,'판매구성'!$A$2:$A$501,0)),""))</f>
        <v/>
      </c>
      <c r="L230" s="4">
        <f>IF(OR(J230="",K230=""),"",ROUND(J230-(J230-K230)*'설정'!$B$2,0))</f>
        <v/>
      </c>
      <c r="M230" s="4">
        <f>IF(OR(A230="",J230=""),"",ROUND(J230*N(IFERROR(INDEX('판매채널'!$F$2:$F$501,MATCH(A230,'판매채널'!$A$2:$A$501,0)),"")),0))</f>
        <v/>
      </c>
      <c r="N230" s="4">
        <f>IF(OR(J230="",K230=""),"",J230-M230-K230)</f>
        <v/>
      </c>
      <c r="O230" s="5">
        <f>IF(OR(J230="",J230=0),"",N230/J230)</f>
        <v/>
      </c>
    </row>
    <row r="231">
      <c r="B231" s="2">
        <f>IF(A231="","",IFERROR(INDEX('판매채널'!$B$2:$B$501,MATCH(A231,'판매채널'!$A$2:$A$501,0)),""))</f>
        <v/>
      </c>
      <c r="D231" s="2">
        <f>IF(C231="","",IFERROR(INDEX('판매구성'!$B$2:$B$501,MATCH(C231,'판매구성'!$A$2:$A$501,0)),""))</f>
        <v/>
      </c>
      <c r="G231" s="3" t="n"/>
      <c r="I231" s="2">
        <f>IF(C231="","",IFERROR(INDEX('판매구성'!$C$2:$C$501,MATCH(C231,'판매구성'!$A$2:$A$501,0)),""))</f>
        <v/>
      </c>
      <c r="J231" s="4">
        <f>IF(OR(C231="",E231=""),"",IFERROR(IF(INDEX('가격표'!$D$2:$K$501,MATCH(C231,'가격표'!$A$2:$A$501,0),MATCH(E231,'가격표'!$D$1:$K$1,0))="","",INDEX('가격표'!$D$2:$K$501,MATCH(C231,'가격표'!$A$2:$A$501,0),MATCH(E231,'가격표'!$D$1:$K$1,0))),""))</f>
        <v/>
      </c>
      <c r="K231" s="4">
        <f>IF(C231="","",IFERROR(INDEX('판매구성'!$D$2:$D$501,MATCH(C231,'판매구성'!$A$2:$A$501,0)),""))</f>
        <v/>
      </c>
      <c r="L231" s="4">
        <f>IF(OR(J231="",K231=""),"",ROUND(J231-(J231-K231)*'설정'!$B$2,0))</f>
        <v/>
      </c>
      <c r="M231" s="4">
        <f>IF(OR(A231="",J231=""),"",ROUND(J231*N(IFERROR(INDEX('판매채널'!$F$2:$F$501,MATCH(A231,'판매채널'!$A$2:$A$501,0)),"")),0))</f>
        <v/>
      </c>
      <c r="N231" s="4">
        <f>IF(OR(J231="",K231=""),"",J231-M231-K231)</f>
        <v/>
      </c>
      <c r="O231" s="5">
        <f>IF(OR(J231="",J231=0),"",N231/J231)</f>
        <v/>
      </c>
    </row>
    <row r="232">
      <c r="B232" s="2">
        <f>IF(A232="","",IFERROR(INDEX('판매채널'!$B$2:$B$501,MATCH(A232,'판매채널'!$A$2:$A$501,0)),""))</f>
        <v/>
      </c>
      <c r="D232" s="2">
        <f>IF(C232="","",IFERROR(INDEX('판매구성'!$B$2:$B$501,MATCH(C232,'판매구성'!$A$2:$A$501,0)),""))</f>
        <v/>
      </c>
      <c r="G232" s="3" t="n"/>
      <c r="I232" s="2">
        <f>IF(C232="","",IFERROR(INDEX('판매구성'!$C$2:$C$501,MATCH(C232,'판매구성'!$A$2:$A$501,0)),""))</f>
        <v/>
      </c>
      <c r="J232" s="4">
        <f>IF(OR(C232="",E232=""),"",IFERROR(IF(INDEX('가격표'!$D$2:$K$501,MATCH(C232,'가격표'!$A$2:$A$501,0),MATCH(E232,'가격표'!$D$1:$K$1,0))="","",INDEX('가격표'!$D$2:$K$501,MATCH(C232,'가격표'!$A$2:$A$501,0),MATCH(E232,'가격표'!$D$1:$K$1,0))),""))</f>
        <v/>
      </c>
      <c r="K232" s="4">
        <f>IF(C232="","",IFERROR(INDEX('판매구성'!$D$2:$D$501,MATCH(C232,'판매구성'!$A$2:$A$501,0)),""))</f>
        <v/>
      </c>
      <c r="L232" s="4">
        <f>IF(OR(J232="",K232=""),"",ROUND(J232-(J232-K232)*'설정'!$B$2,0))</f>
        <v/>
      </c>
      <c r="M232" s="4">
        <f>IF(OR(A232="",J232=""),"",ROUND(J232*N(IFERROR(INDEX('판매채널'!$F$2:$F$501,MATCH(A232,'판매채널'!$A$2:$A$501,0)),"")),0))</f>
        <v/>
      </c>
      <c r="N232" s="4">
        <f>IF(OR(J232="",K232=""),"",J232-M232-K232)</f>
        <v/>
      </c>
      <c r="O232" s="5">
        <f>IF(OR(J232="",J232=0),"",N232/J232)</f>
        <v/>
      </c>
    </row>
    <row r="233">
      <c r="B233" s="2">
        <f>IF(A233="","",IFERROR(INDEX('판매채널'!$B$2:$B$501,MATCH(A233,'판매채널'!$A$2:$A$501,0)),""))</f>
        <v/>
      </c>
      <c r="D233" s="2">
        <f>IF(C233="","",IFERROR(INDEX('판매구성'!$B$2:$B$501,MATCH(C233,'판매구성'!$A$2:$A$501,0)),""))</f>
        <v/>
      </c>
      <c r="G233" s="3" t="n"/>
      <c r="I233" s="2">
        <f>IF(C233="","",IFERROR(INDEX('판매구성'!$C$2:$C$501,MATCH(C233,'판매구성'!$A$2:$A$501,0)),""))</f>
        <v/>
      </c>
      <c r="J233" s="4">
        <f>IF(OR(C233="",E233=""),"",IFERROR(IF(INDEX('가격표'!$D$2:$K$501,MATCH(C233,'가격표'!$A$2:$A$501,0),MATCH(E233,'가격표'!$D$1:$K$1,0))="","",INDEX('가격표'!$D$2:$K$501,MATCH(C233,'가격표'!$A$2:$A$501,0),MATCH(E233,'가격표'!$D$1:$K$1,0))),""))</f>
        <v/>
      </c>
      <c r="K233" s="4">
        <f>IF(C233="","",IFERROR(INDEX('판매구성'!$D$2:$D$501,MATCH(C233,'판매구성'!$A$2:$A$501,0)),""))</f>
        <v/>
      </c>
      <c r="L233" s="4">
        <f>IF(OR(J233="",K233=""),"",ROUND(J233-(J233-K233)*'설정'!$B$2,0))</f>
        <v/>
      </c>
      <c r="M233" s="4">
        <f>IF(OR(A233="",J233=""),"",ROUND(J233*N(IFERROR(INDEX('판매채널'!$F$2:$F$501,MATCH(A233,'판매채널'!$A$2:$A$501,0)),"")),0))</f>
        <v/>
      </c>
      <c r="N233" s="4">
        <f>IF(OR(J233="",K233=""),"",J233-M233-K233)</f>
        <v/>
      </c>
      <c r="O233" s="5">
        <f>IF(OR(J233="",J233=0),"",N233/J233)</f>
        <v/>
      </c>
    </row>
    <row r="234">
      <c r="B234" s="2">
        <f>IF(A234="","",IFERROR(INDEX('판매채널'!$B$2:$B$501,MATCH(A234,'판매채널'!$A$2:$A$501,0)),""))</f>
        <v/>
      </c>
      <c r="D234" s="2">
        <f>IF(C234="","",IFERROR(INDEX('판매구성'!$B$2:$B$501,MATCH(C234,'판매구성'!$A$2:$A$501,0)),""))</f>
        <v/>
      </c>
      <c r="G234" s="3" t="n"/>
      <c r="I234" s="2">
        <f>IF(C234="","",IFERROR(INDEX('판매구성'!$C$2:$C$501,MATCH(C234,'판매구성'!$A$2:$A$501,0)),""))</f>
        <v/>
      </c>
      <c r="J234" s="4">
        <f>IF(OR(C234="",E234=""),"",IFERROR(IF(INDEX('가격표'!$D$2:$K$501,MATCH(C234,'가격표'!$A$2:$A$501,0),MATCH(E234,'가격표'!$D$1:$K$1,0))="","",INDEX('가격표'!$D$2:$K$501,MATCH(C234,'가격표'!$A$2:$A$501,0),MATCH(E234,'가격표'!$D$1:$K$1,0))),""))</f>
        <v/>
      </c>
      <c r="K234" s="4">
        <f>IF(C234="","",IFERROR(INDEX('판매구성'!$D$2:$D$501,MATCH(C234,'판매구성'!$A$2:$A$501,0)),""))</f>
        <v/>
      </c>
      <c r="L234" s="4">
        <f>IF(OR(J234="",K234=""),"",ROUND(J234-(J234-K234)*'설정'!$B$2,0))</f>
        <v/>
      </c>
      <c r="M234" s="4">
        <f>IF(OR(A234="",J234=""),"",ROUND(J234*N(IFERROR(INDEX('판매채널'!$F$2:$F$501,MATCH(A234,'판매채널'!$A$2:$A$501,0)),"")),0))</f>
        <v/>
      </c>
      <c r="N234" s="4">
        <f>IF(OR(J234="",K234=""),"",J234-M234-K234)</f>
        <v/>
      </c>
      <c r="O234" s="5">
        <f>IF(OR(J234="",J234=0),"",N234/J234)</f>
        <v/>
      </c>
    </row>
    <row r="235">
      <c r="B235" s="2">
        <f>IF(A235="","",IFERROR(INDEX('판매채널'!$B$2:$B$501,MATCH(A235,'판매채널'!$A$2:$A$501,0)),""))</f>
        <v/>
      </c>
      <c r="D235" s="2">
        <f>IF(C235="","",IFERROR(INDEX('판매구성'!$B$2:$B$501,MATCH(C235,'판매구성'!$A$2:$A$501,0)),""))</f>
        <v/>
      </c>
      <c r="G235" s="3" t="n"/>
      <c r="I235" s="2">
        <f>IF(C235="","",IFERROR(INDEX('판매구성'!$C$2:$C$501,MATCH(C235,'판매구성'!$A$2:$A$501,0)),""))</f>
        <v/>
      </c>
      <c r="J235" s="4">
        <f>IF(OR(C235="",E235=""),"",IFERROR(IF(INDEX('가격표'!$D$2:$K$501,MATCH(C235,'가격표'!$A$2:$A$501,0),MATCH(E235,'가격표'!$D$1:$K$1,0))="","",INDEX('가격표'!$D$2:$K$501,MATCH(C235,'가격표'!$A$2:$A$501,0),MATCH(E235,'가격표'!$D$1:$K$1,0))),""))</f>
        <v/>
      </c>
      <c r="K235" s="4">
        <f>IF(C235="","",IFERROR(INDEX('판매구성'!$D$2:$D$501,MATCH(C235,'판매구성'!$A$2:$A$501,0)),""))</f>
        <v/>
      </c>
      <c r="L235" s="4">
        <f>IF(OR(J235="",K235=""),"",ROUND(J235-(J235-K235)*'설정'!$B$2,0))</f>
        <v/>
      </c>
      <c r="M235" s="4">
        <f>IF(OR(A235="",J235=""),"",ROUND(J235*N(IFERROR(INDEX('판매채널'!$F$2:$F$501,MATCH(A235,'판매채널'!$A$2:$A$501,0)),"")),0))</f>
        <v/>
      </c>
      <c r="N235" s="4">
        <f>IF(OR(J235="",K235=""),"",J235-M235-K235)</f>
        <v/>
      </c>
      <c r="O235" s="5">
        <f>IF(OR(J235="",J235=0),"",N235/J235)</f>
        <v/>
      </c>
    </row>
    <row r="236">
      <c r="B236" s="2">
        <f>IF(A236="","",IFERROR(INDEX('판매채널'!$B$2:$B$501,MATCH(A236,'판매채널'!$A$2:$A$501,0)),""))</f>
        <v/>
      </c>
      <c r="D236" s="2">
        <f>IF(C236="","",IFERROR(INDEX('판매구성'!$B$2:$B$501,MATCH(C236,'판매구성'!$A$2:$A$501,0)),""))</f>
        <v/>
      </c>
      <c r="G236" s="3" t="n"/>
      <c r="I236" s="2">
        <f>IF(C236="","",IFERROR(INDEX('판매구성'!$C$2:$C$501,MATCH(C236,'판매구성'!$A$2:$A$501,0)),""))</f>
        <v/>
      </c>
      <c r="J236" s="4">
        <f>IF(OR(C236="",E236=""),"",IFERROR(IF(INDEX('가격표'!$D$2:$K$501,MATCH(C236,'가격표'!$A$2:$A$501,0),MATCH(E236,'가격표'!$D$1:$K$1,0))="","",INDEX('가격표'!$D$2:$K$501,MATCH(C236,'가격표'!$A$2:$A$501,0),MATCH(E236,'가격표'!$D$1:$K$1,0))),""))</f>
        <v/>
      </c>
      <c r="K236" s="4">
        <f>IF(C236="","",IFERROR(INDEX('판매구성'!$D$2:$D$501,MATCH(C236,'판매구성'!$A$2:$A$501,0)),""))</f>
        <v/>
      </c>
      <c r="L236" s="4">
        <f>IF(OR(J236="",K236=""),"",ROUND(J236-(J236-K236)*'설정'!$B$2,0))</f>
        <v/>
      </c>
      <c r="M236" s="4">
        <f>IF(OR(A236="",J236=""),"",ROUND(J236*N(IFERROR(INDEX('판매채널'!$F$2:$F$501,MATCH(A236,'판매채널'!$A$2:$A$501,0)),"")),0))</f>
        <v/>
      </c>
      <c r="N236" s="4">
        <f>IF(OR(J236="",K236=""),"",J236-M236-K236)</f>
        <v/>
      </c>
      <c r="O236" s="5">
        <f>IF(OR(J236="",J236=0),"",N236/J236)</f>
        <v/>
      </c>
    </row>
    <row r="237">
      <c r="B237" s="2">
        <f>IF(A237="","",IFERROR(INDEX('판매채널'!$B$2:$B$501,MATCH(A237,'판매채널'!$A$2:$A$501,0)),""))</f>
        <v/>
      </c>
      <c r="D237" s="2">
        <f>IF(C237="","",IFERROR(INDEX('판매구성'!$B$2:$B$501,MATCH(C237,'판매구성'!$A$2:$A$501,0)),""))</f>
        <v/>
      </c>
      <c r="G237" s="3" t="n"/>
      <c r="I237" s="2">
        <f>IF(C237="","",IFERROR(INDEX('판매구성'!$C$2:$C$501,MATCH(C237,'판매구성'!$A$2:$A$501,0)),""))</f>
        <v/>
      </c>
      <c r="J237" s="4">
        <f>IF(OR(C237="",E237=""),"",IFERROR(IF(INDEX('가격표'!$D$2:$K$501,MATCH(C237,'가격표'!$A$2:$A$501,0),MATCH(E237,'가격표'!$D$1:$K$1,0))="","",INDEX('가격표'!$D$2:$K$501,MATCH(C237,'가격표'!$A$2:$A$501,0),MATCH(E237,'가격표'!$D$1:$K$1,0))),""))</f>
        <v/>
      </c>
      <c r="K237" s="4">
        <f>IF(C237="","",IFERROR(INDEX('판매구성'!$D$2:$D$501,MATCH(C237,'판매구성'!$A$2:$A$501,0)),""))</f>
        <v/>
      </c>
      <c r="L237" s="4">
        <f>IF(OR(J237="",K237=""),"",ROUND(J237-(J237-K237)*'설정'!$B$2,0))</f>
        <v/>
      </c>
      <c r="M237" s="4">
        <f>IF(OR(A237="",J237=""),"",ROUND(J237*N(IFERROR(INDEX('판매채널'!$F$2:$F$501,MATCH(A237,'판매채널'!$A$2:$A$501,0)),"")),0))</f>
        <v/>
      </c>
      <c r="N237" s="4">
        <f>IF(OR(J237="",K237=""),"",J237-M237-K237)</f>
        <v/>
      </c>
      <c r="O237" s="5">
        <f>IF(OR(J237="",J237=0),"",N237/J237)</f>
        <v/>
      </c>
    </row>
    <row r="238">
      <c r="B238" s="2">
        <f>IF(A238="","",IFERROR(INDEX('판매채널'!$B$2:$B$501,MATCH(A238,'판매채널'!$A$2:$A$501,0)),""))</f>
        <v/>
      </c>
      <c r="D238" s="2">
        <f>IF(C238="","",IFERROR(INDEX('판매구성'!$B$2:$B$501,MATCH(C238,'판매구성'!$A$2:$A$501,0)),""))</f>
        <v/>
      </c>
      <c r="G238" s="3" t="n"/>
      <c r="I238" s="2">
        <f>IF(C238="","",IFERROR(INDEX('판매구성'!$C$2:$C$501,MATCH(C238,'판매구성'!$A$2:$A$501,0)),""))</f>
        <v/>
      </c>
      <c r="J238" s="4">
        <f>IF(OR(C238="",E238=""),"",IFERROR(IF(INDEX('가격표'!$D$2:$K$501,MATCH(C238,'가격표'!$A$2:$A$501,0),MATCH(E238,'가격표'!$D$1:$K$1,0))="","",INDEX('가격표'!$D$2:$K$501,MATCH(C238,'가격표'!$A$2:$A$501,0),MATCH(E238,'가격표'!$D$1:$K$1,0))),""))</f>
        <v/>
      </c>
      <c r="K238" s="4">
        <f>IF(C238="","",IFERROR(INDEX('판매구성'!$D$2:$D$501,MATCH(C238,'판매구성'!$A$2:$A$501,0)),""))</f>
        <v/>
      </c>
      <c r="L238" s="4">
        <f>IF(OR(J238="",K238=""),"",ROUND(J238-(J238-K238)*'설정'!$B$2,0))</f>
        <v/>
      </c>
      <c r="M238" s="4">
        <f>IF(OR(A238="",J238=""),"",ROUND(J238*N(IFERROR(INDEX('판매채널'!$F$2:$F$501,MATCH(A238,'판매채널'!$A$2:$A$501,0)),"")),0))</f>
        <v/>
      </c>
      <c r="N238" s="4">
        <f>IF(OR(J238="",K238=""),"",J238-M238-K238)</f>
        <v/>
      </c>
      <c r="O238" s="5">
        <f>IF(OR(J238="",J238=0),"",N238/J238)</f>
        <v/>
      </c>
    </row>
    <row r="239">
      <c r="B239" s="2">
        <f>IF(A239="","",IFERROR(INDEX('판매채널'!$B$2:$B$501,MATCH(A239,'판매채널'!$A$2:$A$501,0)),""))</f>
        <v/>
      </c>
      <c r="D239" s="2">
        <f>IF(C239="","",IFERROR(INDEX('판매구성'!$B$2:$B$501,MATCH(C239,'판매구성'!$A$2:$A$501,0)),""))</f>
        <v/>
      </c>
      <c r="G239" s="3" t="n"/>
      <c r="I239" s="2">
        <f>IF(C239="","",IFERROR(INDEX('판매구성'!$C$2:$C$501,MATCH(C239,'판매구성'!$A$2:$A$501,0)),""))</f>
        <v/>
      </c>
      <c r="J239" s="4">
        <f>IF(OR(C239="",E239=""),"",IFERROR(IF(INDEX('가격표'!$D$2:$K$501,MATCH(C239,'가격표'!$A$2:$A$501,0),MATCH(E239,'가격표'!$D$1:$K$1,0))="","",INDEX('가격표'!$D$2:$K$501,MATCH(C239,'가격표'!$A$2:$A$501,0),MATCH(E239,'가격표'!$D$1:$K$1,0))),""))</f>
        <v/>
      </c>
      <c r="K239" s="4">
        <f>IF(C239="","",IFERROR(INDEX('판매구성'!$D$2:$D$501,MATCH(C239,'판매구성'!$A$2:$A$501,0)),""))</f>
        <v/>
      </c>
      <c r="L239" s="4">
        <f>IF(OR(J239="",K239=""),"",ROUND(J239-(J239-K239)*'설정'!$B$2,0))</f>
        <v/>
      </c>
      <c r="M239" s="4">
        <f>IF(OR(A239="",J239=""),"",ROUND(J239*N(IFERROR(INDEX('판매채널'!$F$2:$F$501,MATCH(A239,'판매채널'!$A$2:$A$501,0)),"")),0))</f>
        <v/>
      </c>
      <c r="N239" s="4">
        <f>IF(OR(J239="",K239=""),"",J239-M239-K239)</f>
        <v/>
      </c>
      <c r="O239" s="5">
        <f>IF(OR(J239="",J239=0),"",N239/J239)</f>
        <v/>
      </c>
    </row>
    <row r="240">
      <c r="B240" s="2">
        <f>IF(A240="","",IFERROR(INDEX('판매채널'!$B$2:$B$501,MATCH(A240,'판매채널'!$A$2:$A$501,0)),""))</f>
        <v/>
      </c>
      <c r="D240" s="2">
        <f>IF(C240="","",IFERROR(INDEX('판매구성'!$B$2:$B$501,MATCH(C240,'판매구성'!$A$2:$A$501,0)),""))</f>
        <v/>
      </c>
      <c r="G240" s="3" t="n"/>
      <c r="I240" s="2">
        <f>IF(C240="","",IFERROR(INDEX('판매구성'!$C$2:$C$501,MATCH(C240,'판매구성'!$A$2:$A$501,0)),""))</f>
        <v/>
      </c>
      <c r="J240" s="4">
        <f>IF(OR(C240="",E240=""),"",IFERROR(IF(INDEX('가격표'!$D$2:$K$501,MATCH(C240,'가격표'!$A$2:$A$501,0),MATCH(E240,'가격표'!$D$1:$K$1,0))="","",INDEX('가격표'!$D$2:$K$501,MATCH(C240,'가격표'!$A$2:$A$501,0),MATCH(E240,'가격표'!$D$1:$K$1,0))),""))</f>
        <v/>
      </c>
      <c r="K240" s="4">
        <f>IF(C240="","",IFERROR(INDEX('판매구성'!$D$2:$D$501,MATCH(C240,'판매구성'!$A$2:$A$501,0)),""))</f>
        <v/>
      </c>
      <c r="L240" s="4">
        <f>IF(OR(J240="",K240=""),"",ROUND(J240-(J240-K240)*'설정'!$B$2,0))</f>
        <v/>
      </c>
      <c r="M240" s="4">
        <f>IF(OR(A240="",J240=""),"",ROUND(J240*N(IFERROR(INDEX('판매채널'!$F$2:$F$501,MATCH(A240,'판매채널'!$A$2:$A$501,0)),"")),0))</f>
        <v/>
      </c>
      <c r="N240" s="4">
        <f>IF(OR(J240="",K240=""),"",J240-M240-K240)</f>
        <v/>
      </c>
      <c r="O240" s="5">
        <f>IF(OR(J240="",J240=0),"",N240/J240)</f>
        <v/>
      </c>
    </row>
    <row r="241">
      <c r="B241" s="2">
        <f>IF(A241="","",IFERROR(INDEX('판매채널'!$B$2:$B$501,MATCH(A241,'판매채널'!$A$2:$A$501,0)),""))</f>
        <v/>
      </c>
      <c r="D241" s="2">
        <f>IF(C241="","",IFERROR(INDEX('판매구성'!$B$2:$B$501,MATCH(C241,'판매구성'!$A$2:$A$501,0)),""))</f>
        <v/>
      </c>
      <c r="G241" s="3" t="n"/>
      <c r="I241" s="2">
        <f>IF(C241="","",IFERROR(INDEX('판매구성'!$C$2:$C$501,MATCH(C241,'판매구성'!$A$2:$A$501,0)),""))</f>
        <v/>
      </c>
      <c r="J241" s="4">
        <f>IF(OR(C241="",E241=""),"",IFERROR(IF(INDEX('가격표'!$D$2:$K$501,MATCH(C241,'가격표'!$A$2:$A$501,0),MATCH(E241,'가격표'!$D$1:$K$1,0))="","",INDEX('가격표'!$D$2:$K$501,MATCH(C241,'가격표'!$A$2:$A$501,0),MATCH(E241,'가격표'!$D$1:$K$1,0))),""))</f>
        <v/>
      </c>
      <c r="K241" s="4">
        <f>IF(C241="","",IFERROR(INDEX('판매구성'!$D$2:$D$501,MATCH(C241,'판매구성'!$A$2:$A$501,0)),""))</f>
        <v/>
      </c>
      <c r="L241" s="4">
        <f>IF(OR(J241="",K241=""),"",ROUND(J241-(J241-K241)*'설정'!$B$2,0))</f>
        <v/>
      </c>
      <c r="M241" s="4">
        <f>IF(OR(A241="",J241=""),"",ROUND(J241*N(IFERROR(INDEX('판매채널'!$F$2:$F$501,MATCH(A241,'판매채널'!$A$2:$A$501,0)),"")),0))</f>
        <v/>
      </c>
      <c r="N241" s="4">
        <f>IF(OR(J241="",K241=""),"",J241-M241-K241)</f>
        <v/>
      </c>
      <c r="O241" s="5">
        <f>IF(OR(J241="",J241=0),"",N241/J241)</f>
        <v/>
      </c>
    </row>
    <row r="242">
      <c r="B242" s="2">
        <f>IF(A242="","",IFERROR(INDEX('판매채널'!$B$2:$B$501,MATCH(A242,'판매채널'!$A$2:$A$501,0)),""))</f>
        <v/>
      </c>
      <c r="D242" s="2">
        <f>IF(C242="","",IFERROR(INDEX('판매구성'!$B$2:$B$501,MATCH(C242,'판매구성'!$A$2:$A$501,0)),""))</f>
        <v/>
      </c>
      <c r="G242" s="3" t="n"/>
      <c r="I242" s="2">
        <f>IF(C242="","",IFERROR(INDEX('판매구성'!$C$2:$C$501,MATCH(C242,'판매구성'!$A$2:$A$501,0)),""))</f>
        <v/>
      </c>
      <c r="J242" s="4">
        <f>IF(OR(C242="",E242=""),"",IFERROR(IF(INDEX('가격표'!$D$2:$K$501,MATCH(C242,'가격표'!$A$2:$A$501,0),MATCH(E242,'가격표'!$D$1:$K$1,0))="","",INDEX('가격표'!$D$2:$K$501,MATCH(C242,'가격표'!$A$2:$A$501,0),MATCH(E242,'가격표'!$D$1:$K$1,0))),""))</f>
        <v/>
      </c>
      <c r="K242" s="4">
        <f>IF(C242="","",IFERROR(INDEX('판매구성'!$D$2:$D$501,MATCH(C242,'판매구성'!$A$2:$A$501,0)),""))</f>
        <v/>
      </c>
      <c r="L242" s="4">
        <f>IF(OR(J242="",K242=""),"",ROUND(J242-(J242-K242)*'설정'!$B$2,0))</f>
        <v/>
      </c>
      <c r="M242" s="4">
        <f>IF(OR(A242="",J242=""),"",ROUND(J242*N(IFERROR(INDEX('판매채널'!$F$2:$F$501,MATCH(A242,'판매채널'!$A$2:$A$501,0)),"")),0))</f>
        <v/>
      </c>
      <c r="N242" s="4">
        <f>IF(OR(J242="",K242=""),"",J242-M242-K242)</f>
        <v/>
      </c>
      <c r="O242" s="5">
        <f>IF(OR(J242="",J242=0),"",N242/J242)</f>
        <v/>
      </c>
    </row>
    <row r="243">
      <c r="B243" s="2">
        <f>IF(A243="","",IFERROR(INDEX('판매채널'!$B$2:$B$501,MATCH(A243,'판매채널'!$A$2:$A$501,0)),""))</f>
        <v/>
      </c>
      <c r="D243" s="2">
        <f>IF(C243="","",IFERROR(INDEX('판매구성'!$B$2:$B$501,MATCH(C243,'판매구성'!$A$2:$A$501,0)),""))</f>
        <v/>
      </c>
      <c r="G243" s="3" t="n"/>
      <c r="I243" s="2">
        <f>IF(C243="","",IFERROR(INDEX('판매구성'!$C$2:$C$501,MATCH(C243,'판매구성'!$A$2:$A$501,0)),""))</f>
        <v/>
      </c>
      <c r="J243" s="4">
        <f>IF(OR(C243="",E243=""),"",IFERROR(IF(INDEX('가격표'!$D$2:$K$501,MATCH(C243,'가격표'!$A$2:$A$501,0),MATCH(E243,'가격표'!$D$1:$K$1,0))="","",INDEX('가격표'!$D$2:$K$501,MATCH(C243,'가격표'!$A$2:$A$501,0),MATCH(E243,'가격표'!$D$1:$K$1,0))),""))</f>
        <v/>
      </c>
      <c r="K243" s="4">
        <f>IF(C243="","",IFERROR(INDEX('판매구성'!$D$2:$D$501,MATCH(C243,'판매구성'!$A$2:$A$501,0)),""))</f>
        <v/>
      </c>
      <c r="L243" s="4">
        <f>IF(OR(J243="",K243=""),"",ROUND(J243-(J243-K243)*'설정'!$B$2,0))</f>
        <v/>
      </c>
      <c r="M243" s="4">
        <f>IF(OR(A243="",J243=""),"",ROUND(J243*N(IFERROR(INDEX('판매채널'!$F$2:$F$501,MATCH(A243,'판매채널'!$A$2:$A$501,0)),"")),0))</f>
        <v/>
      </c>
      <c r="N243" s="4">
        <f>IF(OR(J243="",K243=""),"",J243-M243-K243)</f>
        <v/>
      </c>
      <c r="O243" s="5">
        <f>IF(OR(J243="",J243=0),"",N243/J243)</f>
        <v/>
      </c>
    </row>
    <row r="244">
      <c r="B244" s="2">
        <f>IF(A244="","",IFERROR(INDEX('판매채널'!$B$2:$B$501,MATCH(A244,'판매채널'!$A$2:$A$501,0)),""))</f>
        <v/>
      </c>
      <c r="D244" s="2">
        <f>IF(C244="","",IFERROR(INDEX('판매구성'!$B$2:$B$501,MATCH(C244,'판매구성'!$A$2:$A$501,0)),""))</f>
        <v/>
      </c>
      <c r="G244" s="3" t="n"/>
      <c r="I244" s="2">
        <f>IF(C244="","",IFERROR(INDEX('판매구성'!$C$2:$C$501,MATCH(C244,'판매구성'!$A$2:$A$501,0)),""))</f>
        <v/>
      </c>
      <c r="J244" s="4">
        <f>IF(OR(C244="",E244=""),"",IFERROR(IF(INDEX('가격표'!$D$2:$K$501,MATCH(C244,'가격표'!$A$2:$A$501,0),MATCH(E244,'가격표'!$D$1:$K$1,0))="","",INDEX('가격표'!$D$2:$K$501,MATCH(C244,'가격표'!$A$2:$A$501,0),MATCH(E244,'가격표'!$D$1:$K$1,0))),""))</f>
        <v/>
      </c>
      <c r="K244" s="4">
        <f>IF(C244="","",IFERROR(INDEX('판매구성'!$D$2:$D$501,MATCH(C244,'판매구성'!$A$2:$A$501,0)),""))</f>
        <v/>
      </c>
      <c r="L244" s="4">
        <f>IF(OR(J244="",K244=""),"",ROUND(J244-(J244-K244)*'설정'!$B$2,0))</f>
        <v/>
      </c>
      <c r="M244" s="4">
        <f>IF(OR(A244="",J244=""),"",ROUND(J244*N(IFERROR(INDEX('판매채널'!$F$2:$F$501,MATCH(A244,'판매채널'!$A$2:$A$501,0)),"")),0))</f>
        <v/>
      </c>
      <c r="N244" s="4">
        <f>IF(OR(J244="",K244=""),"",J244-M244-K244)</f>
        <v/>
      </c>
      <c r="O244" s="5">
        <f>IF(OR(J244="",J244=0),"",N244/J244)</f>
        <v/>
      </c>
    </row>
    <row r="245">
      <c r="B245" s="2">
        <f>IF(A245="","",IFERROR(INDEX('판매채널'!$B$2:$B$501,MATCH(A245,'판매채널'!$A$2:$A$501,0)),""))</f>
        <v/>
      </c>
      <c r="D245" s="2">
        <f>IF(C245="","",IFERROR(INDEX('판매구성'!$B$2:$B$501,MATCH(C245,'판매구성'!$A$2:$A$501,0)),""))</f>
        <v/>
      </c>
      <c r="G245" s="3" t="n"/>
      <c r="I245" s="2">
        <f>IF(C245="","",IFERROR(INDEX('판매구성'!$C$2:$C$501,MATCH(C245,'판매구성'!$A$2:$A$501,0)),""))</f>
        <v/>
      </c>
      <c r="J245" s="4">
        <f>IF(OR(C245="",E245=""),"",IFERROR(IF(INDEX('가격표'!$D$2:$K$501,MATCH(C245,'가격표'!$A$2:$A$501,0),MATCH(E245,'가격표'!$D$1:$K$1,0))="","",INDEX('가격표'!$D$2:$K$501,MATCH(C245,'가격표'!$A$2:$A$501,0),MATCH(E245,'가격표'!$D$1:$K$1,0))),""))</f>
        <v/>
      </c>
      <c r="K245" s="4">
        <f>IF(C245="","",IFERROR(INDEX('판매구성'!$D$2:$D$501,MATCH(C245,'판매구성'!$A$2:$A$501,0)),""))</f>
        <v/>
      </c>
      <c r="L245" s="4">
        <f>IF(OR(J245="",K245=""),"",ROUND(J245-(J245-K245)*'설정'!$B$2,0))</f>
        <v/>
      </c>
      <c r="M245" s="4">
        <f>IF(OR(A245="",J245=""),"",ROUND(J245*N(IFERROR(INDEX('판매채널'!$F$2:$F$501,MATCH(A245,'판매채널'!$A$2:$A$501,0)),"")),0))</f>
        <v/>
      </c>
      <c r="N245" s="4">
        <f>IF(OR(J245="",K245=""),"",J245-M245-K245)</f>
        <v/>
      </c>
      <c r="O245" s="5">
        <f>IF(OR(J245="",J245=0),"",N245/J245)</f>
        <v/>
      </c>
    </row>
    <row r="246">
      <c r="B246" s="2">
        <f>IF(A246="","",IFERROR(INDEX('판매채널'!$B$2:$B$501,MATCH(A246,'판매채널'!$A$2:$A$501,0)),""))</f>
        <v/>
      </c>
      <c r="D246" s="2">
        <f>IF(C246="","",IFERROR(INDEX('판매구성'!$B$2:$B$501,MATCH(C246,'판매구성'!$A$2:$A$501,0)),""))</f>
        <v/>
      </c>
      <c r="G246" s="3" t="n"/>
      <c r="I246" s="2">
        <f>IF(C246="","",IFERROR(INDEX('판매구성'!$C$2:$C$501,MATCH(C246,'판매구성'!$A$2:$A$501,0)),""))</f>
        <v/>
      </c>
      <c r="J246" s="4">
        <f>IF(OR(C246="",E246=""),"",IFERROR(IF(INDEX('가격표'!$D$2:$K$501,MATCH(C246,'가격표'!$A$2:$A$501,0),MATCH(E246,'가격표'!$D$1:$K$1,0))="","",INDEX('가격표'!$D$2:$K$501,MATCH(C246,'가격표'!$A$2:$A$501,0),MATCH(E246,'가격표'!$D$1:$K$1,0))),""))</f>
        <v/>
      </c>
      <c r="K246" s="4">
        <f>IF(C246="","",IFERROR(INDEX('판매구성'!$D$2:$D$501,MATCH(C246,'판매구성'!$A$2:$A$501,0)),""))</f>
        <v/>
      </c>
      <c r="L246" s="4">
        <f>IF(OR(J246="",K246=""),"",ROUND(J246-(J246-K246)*'설정'!$B$2,0))</f>
        <v/>
      </c>
      <c r="M246" s="4">
        <f>IF(OR(A246="",J246=""),"",ROUND(J246*N(IFERROR(INDEX('판매채널'!$F$2:$F$501,MATCH(A246,'판매채널'!$A$2:$A$501,0)),"")),0))</f>
        <v/>
      </c>
      <c r="N246" s="4">
        <f>IF(OR(J246="",K246=""),"",J246-M246-K246)</f>
        <v/>
      </c>
      <c r="O246" s="5">
        <f>IF(OR(J246="",J246=0),"",N246/J246)</f>
        <v/>
      </c>
    </row>
    <row r="247">
      <c r="B247" s="2">
        <f>IF(A247="","",IFERROR(INDEX('판매채널'!$B$2:$B$501,MATCH(A247,'판매채널'!$A$2:$A$501,0)),""))</f>
        <v/>
      </c>
      <c r="D247" s="2">
        <f>IF(C247="","",IFERROR(INDEX('판매구성'!$B$2:$B$501,MATCH(C247,'판매구성'!$A$2:$A$501,0)),""))</f>
        <v/>
      </c>
      <c r="G247" s="3" t="n"/>
      <c r="I247" s="2">
        <f>IF(C247="","",IFERROR(INDEX('판매구성'!$C$2:$C$501,MATCH(C247,'판매구성'!$A$2:$A$501,0)),""))</f>
        <v/>
      </c>
      <c r="J247" s="4">
        <f>IF(OR(C247="",E247=""),"",IFERROR(IF(INDEX('가격표'!$D$2:$K$501,MATCH(C247,'가격표'!$A$2:$A$501,0),MATCH(E247,'가격표'!$D$1:$K$1,0))="","",INDEX('가격표'!$D$2:$K$501,MATCH(C247,'가격표'!$A$2:$A$501,0),MATCH(E247,'가격표'!$D$1:$K$1,0))),""))</f>
        <v/>
      </c>
      <c r="K247" s="4">
        <f>IF(C247="","",IFERROR(INDEX('판매구성'!$D$2:$D$501,MATCH(C247,'판매구성'!$A$2:$A$501,0)),""))</f>
        <v/>
      </c>
      <c r="L247" s="4">
        <f>IF(OR(J247="",K247=""),"",ROUND(J247-(J247-K247)*'설정'!$B$2,0))</f>
        <v/>
      </c>
      <c r="M247" s="4">
        <f>IF(OR(A247="",J247=""),"",ROUND(J247*N(IFERROR(INDEX('판매채널'!$F$2:$F$501,MATCH(A247,'판매채널'!$A$2:$A$501,0)),"")),0))</f>
        <v/>
      </c>
      <c r="N247" s="4">
        <f>IF(OR(J247="",K247=""),"",J247-M247-K247)</f>
        <v/>
      </c>
      <c r="O247" s="5">
        <f>IF(OR(J247="",J247=0),"",N247/J247)</f>
        <v/>
      </c>
    </row>
    <row r="248">
      <c r="B248" s="2">
        <f>IF(A248="","",IFERROR(INDEX('판매채널'!$B$2:$B$501,MATCH(A248,'판매채널'!$A$2:$A$501,0)),""))</f>
        <v/>
      </c>
      <c r="D248" s="2">
        <f>IF(C248="","",IFERROR(INDEX('판매구성'!$B$2:$B$501,MATCH(C248,'판매구성'!$A$2:$A$501,0)),""))</f>
        <v/>
      </c>
      <c r="G248" s="3" t="n"/>
      <c r="I248" s="2">
        <f>IF(C248="","",IFERROR(INDEX('판매구성'!$C$2:$C$501,MATCH(C248,'판매구성'!$A$2:$A$501,0)),""))</f>
        <v/>
      </c>
      <c r="J248" s="4">
        <f>IF(OR(C248="",E248=""),"",IFERROR(IF(INDEX('가격표'!$D$2:$K$501,MATCH(C248,'가격표'!$A$2:$A$501,0),MATCH(E248,'가격표'!$D$1:$K$1,0))="","",INDEX('가격표'!$D$2:$K$501,MATCH(C248,'가격표'!$A$2:$A$501,0),MATCH(E248,'가격표'!$D$1:$K$1,0))),""))</f>
        <v/>
      </c>
      <c r="K248" s="4">
        <f>IF(C248="","",IFERROR(INDEX('판매구성'!$D$2:$D$501,MATCH(C248,'판매구성'!$A$2:$A$501,0)),""))</f>
        <v/>
      </c>
      <c r="L248" s="4">
        <f>IF(OR(J248="",K248=""),"",ROUND(J248-(J248-K248)*'설정'!$B$2,0))</f>
        <v/>
      </c>
      <c r="M248" s="4">
        <f>IF(OR(A248="",J248=""),"",ROUND(J248*N(IFERROR(INDEX('판매채널'!$F$2:$F$501,MATCH(A248,'판매채널'!$A$2:$A$501,0)),"")),0))</f>
        <v/>
      </c>
      <c r="N248" s="4">
        <f>IF(OR(J248="",K248=""),"",J248-M248-K248)</f>
        <v/>
      </c>
      <c r="O248" s="5">
        <f>IF(OR(J248="",J248=0),"",N248/J248)</f>
        <v/>
      </c>
    </row>
    <row r="249">
      <c r="B249" s="2">
        <f>IF(A249="","",IFERROR(INDEX('판매채널'!$B$2:$B$501,MATCH(A249,'판매채널'!$A$2:$A$501,0)),""))</f>
        <v/>
      </c>
      <c r="D249" s="2">
        <f>IF(C249="","",IFERROR(INDEX('판매구성'!$B$2:$B$501,MATCH(C249,'판매구성'!$A$2:$A$501,0)),""))</f>
        <v/>
      </c>
      <c r="G249" s="3" t="n"/>
      <c r="I249" s="2">
        <f>IF(C249="","",IFERROR(INDEX('판매구성'!$C$2:$C$501,MATCH(C249,'판매구성'!$A$2:$A$501,0)),""))</f>
        <v/>
      </c>
      <c r="J249" s="4">
        <f>IF(OR(C249="",E249=""),"",IFERROR(IF(INDEX('가격표'!$D$2:$K$501,MATCH(C249,'가격표'!$A$2:$A$501,0),MATCH(E249,'가격표'!$D$1:$K$1,0))="","",INDEX('가격표'!$D$2:$K$501,MATCH(C249,'가격표'!$A$2:$A$501,0),MATCH(E249,'가격표'!$D$1:$K$1,0))),""))</f>
        <v/>
      </c>
      <c r="K249" s="4">
        <f>IF(C249="","",IFERROR(INDEX('판매구성'!$D$2:$D$501,MATCH(C249,'판매구성'!$A$2:$A$501,0)),""))</f>
        <v/>
      </c>
      <c r="L249" s="4">
        <f>IF(OR(J249="",K249=""),"",ROUND(J249-(J249-K249)*'설정'!$B$2,0))</f>
        <v/>
      </c>
      <c r="M249" s="4">
        <f>IF(OR(A249="",J249=""),"",ROUND(J249*N(IFERROR(INDEX('판매채널'!$F$2:$F$501,MATCH(A249,'판매채널'!$A$2:$A$501,0)),"")),0))</f>
        <v/>
      </c>
      <c r="N249" s="4">
        <f>IF(OR(J249="",K249=""),"",J249-M249-K249)</f>
        <v/>
      </c>
      <c r="O249" s="5">
        <f>IF(OR(J249="",J249=0),"",N249/J249)</f>
        <v/>
      </c>
    </row>
    <row r="250">
      <c r="B250" s="2">
        <f>IF(A250="","",IFERROR(INDEX('판매채널'!$B$2:$B$501,MATCH(A250,'판매채널'!$A$2:$A$501,0)),""))</f>
        <v/>
      </c>
      <c r="D250" s="2">
        <f>IF(C250="","",IFERROR(INDEX('판매구성'!$B$2:$B$501,MATCH(C250,'판매구성'!$A$2:$A$501,0)),""))</f>
        <v/>
      </c>
      <c r="G250" s="3" t="n"/>
      <c r="I250" s="2">
        <f>IF(C250="","",IFERROR(INDEX('판매구성'!$C$2:$C$501,MATCH(C250,'판매구성'!$A$2:$A$501,0)),""))</f>
        <v/>
      </c>
      <c r="J250" s="4">
        <f>IF(OR(C250="",E250=""),"",IFERROR(IF(INDEX('가격표'!$D$2:$K$501,MATCH(C250,'가격표'!$A$2:$A$501,0),MATCH(E250,'가격표'!$D$1:$K$1,0))="","",INDEX('가격표'!$D$2:$K$501,MATCH(C250,'가격표'!$A$2:$A$501,0),MATCH(E250,'가격표'!$D$1:$K$1,0))),""))</f>
        <v/>
      </c>
      <c r="K250" s="4">
        <f>IF(C250="","",IFERROR(INDEX('판매구성'!$D$2:$D$501,MATCH(C250,'판매구성'!$A$2:$A$501,0)),""))</f>
        <v/>
      </c>
      <c r="L250" s="4">
        <f>IF(OR(J250="",K250=""),"",ROUND(J250-(J250-K250)*'설정'!$B$2,0))</f>
        <v/>
      </c>
      <c r="M250" s="4">
        <f>IF(OR(A250="",J250=""),"",ROUND(J250*N(IFERROR(INDEX('판매채널'!$F$2:$F$501,MATCH(A250,'판매채널'!$A$2:$A$501,0)),"")),0))</f>
        <v/>
      </c>
      <c r="N250" s="4">
        <f>IF(OR(J250="",K250=""),"",J250-M250-K250)</f>
        <v/>
      </c>
      <c r="O250" s="5">
        <f>IF(OR(J250="",J250=0),"",N250/J250)</f>
        <v/>
      </c>
    </row>
    <row r="251">
      <c r="B251" s="2">
        <f>IF(A251="","",IFERROR(INDEX('판매채널'!$B$2:$B$501,MATCH(A251,'판매채널'!$A$2:$A$501,0)),""))</f>
        <v/>
      </c>
      <c r="D251" s="2">
        <f>IF(C251="","",IFERROR(INDEX('판매구성'!$B$2:$B$501,MATCH(C251,'판매구성'!$A$2:$A$501,0)),""))</f>
        <v/>
      </c>
      <c r="G251" s="3" t="n"/>
      <c r="I251" s="2">
        <f>IF(C251="","",IFERROR(INDEX('판매구성'!$C$2:$C$501,MATCH(C251,'판매구성'!$A$2:$A$501,0)),""))</f>
        <v/>
      </c>
      <c r="J251" s="4">
        <f>IF(OR(C251="",E251=""),"",IFERROR(IF(INDEX('가격표'!$D$2:$K$501,MATCH(C251,'가격표'!$A$2:$A$501,0),MATCH(E251,'가격표'!$D$1:$K$1,0))="","",INDEX('가격표'!$D$2:$K$501,MATCH(C251,'가격표'!$A$2:$A$501,0),MATCH(E251,'가격표'!$D$1:$K$1,0))),""))</f>
        <v/>
      </c>
      <c r="K251" s="4">
        <f>IF(C251="","",IFERROR(INDEX('판매구성'!$D$2:$D$501,MATCH(C251,'판매구성'!$A$2:$A$501,0)),""))</f>
        <v/>
      </c>
      <c r="L251" s="4">
        <f>IF(OR(J251="",K251=""),"",ROUND(J251-(J251-K251)*'설정'!$B$2,0))</f>
        <v/>
      </c>
      <c r="M251" s="4">
        <f>IF(OR(A251="",J251=""),"",ROUND(J251*N(IFERROR(INDEX('판매채널'!$F$2:$F$501,MATCH(A251,'판매채널'!$A$2:$A$501,0)),"")),0))</f>
        <v/>
      </c>
      <c r="N251" s="4">
        <f>IF(OR(J251="",K251=""),"",J251-M251-K251)</f>
        <v/>
      </c>
      <c r="O251" s="5">
        <f>IF(OR(J251="",J251=0),"",N251/J251)</f>
        <v/>
      </c>
    </row>
    <row r="252">
      <c r="B252" s="2">
        <f>IF(A252="","",IFERROR(INDEX('판매채널'!$B$2:$B$501,MATCH(A252,'판매채널'!$A$2:$A$501,0)),""))</f>
        <v/>
      </c>
      <c r="D252" s="2">
        <f>IF(C252="","",IFERROR(INDEX('판매구성'!$B$2:$B$501,MATCH(C252,'판매구성'!$A$2:$A$501,0)),""))</f>
        <v/>
      </c>
      <c r="G252" s="3" t="n"/>
      <c r="I252" s="2">
        <f>IF(C252="","",IFERROR(INDEX('판매구성'!$C$2:$C$501,MATCH(C252,'판매구성'!$A$2:$A$501,0)),""))</f>
        <v/>
      </c>
      <c r="J252" s="4">
        <f>IF(OR(C252="",E252=""),"",IFERROR(IF(INDEX('가격표'!$D$2:$K$501,MATCH(C252,'가격표'!$A$2:$A$501,0),MATCH(E252,'가격표'!$D$1:$K$1,0))="","",INDEX('가격표'!$D$2:$K$501,MATCH(C252,'가격표'!$A$2:$A$501,0),MATCH(E252,'가격표'!$D$1:$K$1,0))),""))</f>
        <v/>
      </c>
      <c r="K252" s="4">
        <f>IF(C252="","",IFERROR(INDEX('판매구성'!$D$2:$D$501,MATCH(C252,'판매구성'!$A$2:$A$501,0)),""))</f>
        <v/>
      </c>
      <c r="L252" s="4">
        <f>IF(OR(J252="",K252=""),"",ROUND(J252-(J252-K252)*'설정'!$B$2,0))</f>
        <v/>
      </c>
      <c r="M252" s="4">
        <f>IF(OR(A252="",J252=""),"",ROUND(J252*N(IFERROR(INDEX('판매채널'!$F$2:$F$501,MATCH(A252,'판매채널'!$A$2:$A$501,0)),"")),0))</f>
        <v/>
      </c>
      <c r="N252" s="4">
        <f>IF(OR(J252="",K252=""),"",J252-M252-K252)</f>
        <v/>
      </c>
      <c r="O252" s="5">
        <f>IF(OR(J252="",J252=0),"",N252/J252)</f>
        <v/>
      </c>
    </row>
    <row r="253">
      <c r="B253" s="2">
        <f>IF(A253="","",IFERROR(INDEX('판매채널'!$B$2:$B$501,MATCH(A253,'판매채널'!$A$2:$A$501,0)),""))</f>
        <v/>
      </c>
      <c r="D253" s="2">
        <f>IF(C253="","",IFERROR(INDEX('판매구성'!$B$2:$B$501,MATCH(C253,'판매구성'!$A$2:$A$501,0)),""))</f>
        <v/>
      </c>
      <c r="G253" s="3" t="n"/>
      <c r="I253" s="2">
        <f>IF(C253="","",IFERROR(INDEX('판매구성'!$C$2:$C$501,MATCH(C253,'판매구성'!$A$2:$A$501,0)),""))</f>
        <v/>
      </c>
      <c r="J253" s="4">
        <f>IF(OR(C253="",E253=""),"",IFERROR(IF(INDEX('가격표'!$D$2:$K$501,MATCH(C253,'가격표'!$A$2:$A$501,0),MATCH(E253,'가격표'!$D$1:$K$1,0))="","",INDEX('가격표'!$D$2:$K$501,MATCH(C253,'가격표'!$A$2:$A$501,0),MATCH(E253,'가격표'!$D$1:$K$1,0))),""))</f>
        <v/>
      </c>
      <c r="K253" s="4">
        <f>IF(C253="","",IFERROR(INDEX('판매구성'!$D$2:$D$501,MATCH(C253,'판매구성'!$A$2:$A$501,0)),""))</f>
        <v/>
      </c>
      <c r="L253" s="4">
        <f>IF(OR(J253="",K253=""),"",ROUND(J253-(J253-K253)*'설정'!$B$2,0))</f>
        <v/>
      </c>
      <c r="M253" s="4">
        <f>IF(OR(A253="",J253=""),"",ROUND(J253*N(IFERROR(INDEX('판매채널'!$F$2:$F$501,MATCH(A253,'판매채널'!$A$2:$A$501,0)),"")),0))</f>
        <v/>
      </c>
      <c r="N253" s="4">
        <f>IF(OR(J253="",K253=""),"",J253-M253-K253)</f>
        <v/>
      </c>
      <c r="O253" s="5">
        <f>IF(OR(J253="",J253=0),"",N253/J253)</f>
        <v/>
      </c>
    </row>
    <row r="254">
      <c r="B254" s="2">
        <f>IF(A254="","",IFERROR(INDEX('판매채널'!$B$2:$B$501,MATCH(A254,'판매채널'!$A$2:$A$501,0)),""))</f>
        <v/>
      </c>
      <c r="D254" s="2">
        <f>IF(C254="","",IFERROR(INDEX('판매구성'!$B$2:$B$501,MATCH(C254,'판매구성'!$A$2:$A$501,0)),""))</f>
        <v/>
      </c>
      <c r="G254" s="3" t="n"/>
      <c r="I254" s="2">
        <f>IF(C254="","",IFERROR(INDEX('판매구성'!$C$2:$C$501,MATCH(C254,'판매구성'!$A$2:$A$501,0)),""))</f>
        <v/>
      </c>
      <c r="J254" s="4">
        <f>IF(OR(C254="",E254=""),"",IFERROR(IF(INDEX('가격표'!$D$2:$K$501,MATCH(C254,'가격표'!$A$2:$A$501,0),MATCH(E254,'가격표'!$D$1:$K$1,0))="","",INDEX('가격표'!$D$2:$K$501,MATCH(C254,'가격표'!$A$2:$A$501,0),MATCH(E254,'가격표'!$D$1:$K$1,0))),""))</f>
        <v/>
      </c>
      <c r="K254" s="4">
        <f>IF(C254="","",IFERROR(INDEX('판매구성'!$D$2:$D$501,MATCH(C254,'판매구성'!$A$2:$A$501,0)),""))</f>
        <v/>
      </c>
      <c r="L254" s="4">
        <f>IF(OR(J254="",K254=""),"",ROUND(J254-(J254-K254)*'설정'!$B$2,0))</f>
        <v/>
      </c>
      <c r="M254" s="4">
        <f>IF(OR(A254="",J254=""),"",ROUND(J254*N(IFERROR(INDEX('판매채널'!$F$2:$F$501,MATCH(A254,'판매채널'!$A$2:$A$501,0)),"")),0))</f>
        <v/>
      </c>
      <c r="N254" s="4">
        <f>IF(OR(J254="",K254=""),"",J254-M254-K254)</f>
        <v/>
      </c>
      <c r="O254" s="5">
        <f>IF(OR(J254="",J254=0),"",N254/J254)</f>
        <v/>
      </c>
    </row>
    <row r="255">
      <c r="B255" s="2">
        <f>IF(A255="","",IFERROR(INDEX('판매채널'!$B$2:$B$501,MATCH(A255,'판매채널'!$A$2:$A$501,0)),""))</f>
        <v/>
      </c>
      <c r="D255" s="2">
        <f>IF(C255="","",IFERROR(INDEX('판매구성'!$B$2:$B$501,MATCH(C255,'판매구성'!$A$2:$A$501,0)),""))</f>
        <v/>
      </c>
      <c r="G255" s="3" t="n"/>
      <c r="I255" s="2">
        <f>IF(C255="","",IFERROR(INDEX('판매구성'!$C$2:$C$501,MATCH(C255,'판매구성'!$A$2:$A$501,0)),""))</f>
        <v/>
      </c>
      <c r="J255" s="4">
        <f>IF(OR(C255="",E255=""),"",IFERROR(IF(INDEX('가격표'!$D$2:$K$501,MATCH(C255,'가격표'!$A$2:$A$501,0),MATCH(E255,'가격표'!$D$1:$K$1,0))="","",INDEX('가격표'!$D$2:$K$501,MATCH(C255,'가격표'!$A$2:$A$501,0),MATCH(E255,'가격표'!$D$1:$K$1,0))),""))</f>
        <v/>
      </c>
      <c r="K255" s="4">
        <f>IF(C255="","",IFERROR(INDEX('판매구성'!$D$2:$D$501,MATCH(C255,'판매구성'!$A$2:$A$501,0)),""))</f>
        <v/>
      </c>
      <c r="L255" s="4">
        <f>IF(OR(J255="",K255=""),"",ROUND(J255-(J255-K255)*'설정'!$B$2,0))</f>
        <v/>
      </c>
      <c r="M255" s="4">
        <f>IF(OR(A255="",J255=""),"",ROUND(J255*N(IFERROR(INDEX('판매채널'!$F$2:$F$501,MATCH(A255,'판매채널'!$A$2:$A$501,0)),"")),0))</f>
        <v/>
      </c>
      <c r="N255" s="4">
        <f>IF(OR(J255="",K255=""),"",J255-M255-K255)</f>
        <v/>
      </c>
      <c r="O255" s="5">
        <f>IF(OR(J255="",J255=0),"",N255/J255)</f>
        <v/>
      </c>
    </row>
    <row r="256">
      <c r="B256" s="2">
        <f>IF(A256="","",IFERROR(INDEX('판매채널'!$B$2:$B$501,MATCH(A256,'판매채널'!$A$2:$A$501,0)),""))</f>
        <v/>
      </c>
      <c r="D256" s="2">
        <f>IF(C256="","",IFERROR(INDEX('판매구성'!$B$2:$B$501,MATCH(C256,'판매구성'!$A$2:$A$501,0)),""))</f>
        <v/>
      </c>
      <c r="G256" s="3" t="n"/>
      <c r="I256" s="2">
        <f>IF(C256="","",IFERROR(INDEX('판매구성'!$C$2:$C$501,MATCH(C256,'판매구성'!$A$2:$A$501,0)),""))</f>
        <v/>
      </c>
      <c r="J256" s="4">
        <f>IF(OR(C256="",E256=""),"",IFERROR(IF(INDEX('가격표'!$D$2:$K$501,MATCH(C256,'가격표'!$A$2:$A$501,0),MATCH(E256,'가격표'!$D$1:$K$1,0))="","",INDEX('가격표'!$D$2:$K$501,MATCH(C256,'가격표'!$A$2:$A$501,0),MATCH(E256,'가격표'!$D$1:$K$1,0))),""))</f>
        <v/>
      </c>
      <c r="K256" s="4">
        <f>IF(C256="","",IFERROR(INDEX('판매구성'!$D$2:$D$501,MATCH(C256,'판매구성'!$A$2:$A$501,0)),""))</f>
        <v/>
      </c>
      <c r="L256" s="4">
        <f>IF(OR(J256="",K256=""),"",ROUND(J256-(J256-K256)*'설정'!$B$2,0))</f>
        <v/>
      </c>
      <c r="M256" s="4">
        <f>IF(OR(A256="",J256=""),"",ROUND(J256*N(IFERROR(INDEX('판매채널'!$F$2:$F$501,MATCH(A256,'판매채널'!$A$2:$A$501,0)),"")),0))</f>
        <v/>
      </c>
      <c r="N256" s="4">
        <f>IF(OR(J256="",K256=""),"",J256-M256-K256)</f>
        <v/>
      </c>
      <c r="O256" s="5">
        <f>IF(OR(J256="",J256=0),"",N256/J256)</f>
        <v/>
      </c>
    </row>
    <row r="257">
      <c r="B257" s="2">
        <f>IF(A257="","",IFERROR(INDEX('판매채널'!$B$2:$B$501,MATCH(A257,'판매채널'!$A$2:$A$501,0)),""))</f>
        <v/>
      </c>
      <c r="D257" s="2">
        <f>IF(C257="","",IFERROR(INDEX('판매구성'!$B$2:$B$501,MATCH(C257,'판매구성'!$A$2:$A$501,0)),""))</f>
        <v/>
      </c>
      <c r="G257" s="3" t="n"/>
      <c r="I257" s="2">
        <f>IF(C257="","",IFERROR(INDEX('판매구성'!$C$2:$C$501,MATCH(C257,'판매구성'!$A$2:$A$501,0)),""))</f>
        <v/>
      </c>
      <c r="J257" s="4">
        <f>IF(OR(C257="",E257=""),"",IFERROR(IF(INDEX('가격표'!$D$2:$K$501,MATCH(C257,'가격표'!$A$2:$A$501,0),MATCH(E257,'가격표'!$D$1:$K$1,0))="","",INDEX('가격표'!$D$2:$K$501,MATCH(C257,'가격표'!$A$2:$A$501,0),MATCH(E257,'가격표'!$D$1:$K$1,0))),""))</f>
        <v/>
      </c>
      <c r="K257" s="4">
        <f>IF(C257="","",IFERROR(INDEX('판매구성'!$D$2:$D$501,MATCH(C257,'판매구성'!$A$2:$A$501,0)),""))</f>
        <v/>
      </c>
      <c r="L257" s="4">
        <f>IF(OR(J257="",K257=""),"",ROUND(J257-(J257-K257)*'설정'!$B$2,0))</f>
        <v/>
      </c>
      <c r="M257" s="4">
        <f>IF(OR(A257="",J257=""),"",ROUND(J257*N(IFERROR(INDEX('판매채널'!$F$2:$F$501,MATCH(A257,'판매채널'!$A$2:$A$501,0)),"")),0))</f>
        <v/>
      </c>
      <c r="N257" s="4">
        <f>IF(OR(J257="",K257=""),"",J257-M257-K257)</f>
        <v/>
      </c>
      <c r="O257" s="5">
        <f>IF(OR(J257="",J257=0),"",N257/J257)</f>
        <v/>
      </c>
    </row>
    <row r="258">
      <c r="B258" s="2">
        <f>IF(A258="","",IFERROR(INDEX('판매채널'!$B$2:$B$501,MATCH(A258,'판매채널'!$A$2:$A$501,0)),""))</f>
        <v/>
      </c>
      <c r="D258" s="2">
        <f>IF(C258="","",IFERROR(INDEX('판매구성'!$B$2:$B$501,MATCH(C258,'판매구성'!$A$2:$A$501,0)),""))</f>
        <v/>
      </c>
      <c r="G258" s="3" t="n"/>
      <c r="I258" s="2">
        <f>IF(C258="","",IFERROR(INDEX('판매구성'!$C$2:$C$501,MATCH(C258,'판매구성'!$A$2:$A$501,0)),""))</f>
        <v/>
      </c>
      <c r="J258" s="4">
        <f>IF(OR(C258="",E258=""),"",IFERROR(IF(INDEX('가격표'!$D$2:$K$501,MATCH(C258,'가격표'!$A$2:$A$501,0),MATCH(E258,'가격표'!$D$1:$K$1,0))="","",INDEX('가격표'!$D$2:$K$501,MATCH(C258,'가격표'!$A$2:$A$501,0),MATCH(E258,'가격표'!$D$1:$K$1,0))),""))</f>
        <v/>
      </c>
      <c r="K258" s="4">
        <f>IF(C258="","",IFERROR(INDEX('판매구성'!$D$2:$D$501,MATCH(C258,'판매구성'!$A$2:$A$501,0)),""))</f>
        <v/>
      </c>
      <c r="L258" s="4">
        <f>IF(OR(J258="",K258=""),"",ROUND(J258-(J258-K258)*'설정'!$B$2,0))</f>
        <v/>
      </c>
      <c r="M258" s="4">
        <f>IF(OR(A258="",J258=""),"",ROUND(J258*N(IFERROR(INDEX('판매채널'!$F$2:$F$501,MATCH(A258,'판매채널'!$A$2:$A$501,0)),"")),0))</f>
        <v/>
      </c>
      <c r="N258" s="4">
        <f>IF(OR(J258="",K258=""),"",J258-M258-K258)</f>
        <v/>
      </c>
      <c r="O258" s="5">
        <f>IF(OR(J258="",J258=0),"",N258/J258)</f>
        <v/>
      </c>
    </row>
    <row r="259">
      <c r="B259" s="2">
        <f>IF(A259="","",IFERROR(INDEX('판매채널'!$B$2:$B$501,MATCH(A259,'판매채널'!$A$2:$A$501,0)),""))</f>
        <v/>
      </c>
      <c r="D259" s="2">
        <f>IF(C259="","",IFERROR(INDEX('판매구성'!$B$2:$B$501,MATCH(C259,'판매구성'!$A$2:$A$501,0)),""))</f>
        <v/>
      </c>
      <c r="G259" s="3" t="n"/>
      <c r="I259" s="2">
        <f>IF(C259="","",IFERROR(INDEX('판매구성'!$C$2:$C$501,MATCH(C259,'판매구성'!$A$2:$A$501,0)),""))</f>
        <v/>
      </c>
      <c r="J259" s="4">
        <f>IF(OR(C259="",E259=""),"",IFERROR(IF(INDEX('가격표'!$D$2:$K$501,MATCH(C259,'가격표'!$A$2:$A$501,0),MATCH(E259,'가격표'!$D$1:$K$1,0))="","",INDEX('가격표'!$D$2:$K$501,MATCH(C259,'가격표'!$A$2:$A$501,0),MATCH(E259,'가격표'!$D$1:$K$1,0))),""))</f>
        <v/>
      </c>
      <c r="K259" s="4">
        <f>IF(C259="","",IFERROR(INDEX('판매구성'!$D$2:$D$501,MATCH(C259,'판매구성'!$A$2:$A$501,0)),""))</f>
        <v/>
      </c>
      <c r="L259" s="4">
        <f>IF(OR(J259="",K259=""),"",ROUND(J259-(J259-K259)*'설정'!$B$2,0))</f>
        <v/>
      </c>
      <c r="M259" s="4">
        <f>IF(OR(A259="",J259=""),"",ROUND(J259*N(IFERROR(INDEX('판매채널'!$F$2:$F$501,MATCH(A259,'판매채널'!$A$2:$A$501,0)),"")),0))</f>
        <v/>
      </c>
      <c r="N259" s="4">
        <f>IF(OR(J259="",K259=""),"",J259-M259-K259)</f>
        <v/>
      </c>
      <c r="O259" s="5">
        <f>IF(OR(J259="",J259=0),"",N259/J259)</f>
        <v/>
      </c>
    </row>
    <row r="260">
      <c r="B260" s="2">
        <f>IF(A260="","",IFERROR(INDEX('판매채널'!$B$2:$B$501,MATCH(A260,'판매채널'!$A$2:$A$501,0)),""))</f>
        <v/>
      </c>
      <c r="D260" s="2">
        <f>IF(C260="","",IFERROR(INDEX('판매구성'!$B$2:$B$501,MATCH(C260,'판매구성'!$A$2:$A$501,0)),""))</f>
        <v/>
      </c>
      <c r="G260" s="3" t="n"/>
      <c r="I260" s="2">
        <f>IF(C260="","",IFERROR(INDEX('판매구성'!$C$2:$C$501,MATCH(C260,'판매구성'!$A$2:$A$501,0)),""))</f>
        <v/>
      </c>
      <c r="J260" s="4">
        <f>IF(OR(C260="",E260=""),"",IFERROR(IF(INDEX('가격표'!$D$2:$K$501,MATCH(C260,'가격표'!$A$2:$A$501,0),MATCH(E260,'가격표'!$D$1:$K$1,0))="","",INDEX('가격표'!$D$2:$K$501,MATCH(C260,'가격표'!$A$2:$A$501,0),MATCH(E260,'가격표'!$D$1:$K$1,0))),""))</f>
        <v/>
      </c>
      <c r="K260" s="4">
        <f>IF(C260="","",IFERROR(INDEX('판매구성'!$D$2:$D$501,MATCH(C260,'판매구성'!$A$2:$A$501,0)),""))</f>
        <v/>
      </c>
      <c r="L260" s="4">
        <f>IF(OR(J260="",K260=""),"",ROUND(J260-(J260-K260)*'설정'!$B$2,0))</f>
        <v/>
      </c>
      <c r="M260" s="4">
        <f>IF(OR(A260="",J260=""),"",ROUND(J260*N(IFERROR(INDEX('판매채널'!$F$2:$F$501,MATCH(A260,'판매채널'!$A$2:$A$501,0)),"")),0))</f>
        <v/>
      </c>
      <c r="N260" s="4">
        <f>IF(OR(J260="",K260=""),"",J260-M260-K260)</f>
        <v/>
      </c>
      <c r="O260" s="5">
        <f>IF(OR(J260="",J260=0),"",N260/J260)</f>
        <v/>
      </c>
    </row>
    <row r="261">
      <c r="B261" s="2">
        <f>IF(A261="","",IFERROR(INDEX('판매채널'!$B$2:$B$501,MATCH(A261,'판매채널'!$A$2:$A$501,0)),""))</f>
        <v/>
      </c>
      <c r="D261" s="2">
        <f>IF(C261="","",IFERROR(INDEX('판매구성'!$B$2:$B$501,MATCH(C261,'판매구성'!$A$2:$A$501,0)),""))</f>
        <v/>
      </c>
      <c r="G261" s="3" t="n"/>
      <c r="I261" s="2">
        <f>IF(C261="","",IFERROR(INDEX('판매구성'!$C$2:$C$501,MATCH(C261,'판매구성'!$A$2:$A$501,0)),""))</f>
        <v/>
      </c>
      <c r="J261" s="4">
        <f>IF(OR(C261="",E261=""),"",IFERROR(IF(INDEX('가격표'!$D$2:$K$501,MATCH(C261,'가격표'!$A$2:$A$501,0),MATCH(E261,'가격표'!$D$1:$K$1,0))="","",INDEX('가격표'!$D$2:$K$501,MATCH(C261,'가격표'!$A$2:$A$501,0),MATCH(E261,'가격표'!$D$1:$K$1,0))),""))</f>
        <v/>
      </c>
      <c r="K261" s="4">
        <f>IF(C261="","",IFERROR(INDEX('판매구성'!$D$2:$D$501,MATCH(C261,'판매구성'!$A$2:$A$501,0)),""))</f>
        <v/>
      </c>
      <c r="L261" s="4">
        <f>IF(OR(J261="",K261=""),"",ROUND(J261-(J261-K261)*'설정'!$B$2,0))</f>
        <v/>
      </c>
      <c r="M261" s="4">
        <f>IF(OR(A261="",J261=""),"",ROUND(J261*N(IFERROR(INDEX('판매채널'!$F$2:$F$501,MATCH(A261,'판매채널'!$A$2:$A$501,0)),"")),0))</f>
        <v/>
      </c>
      <c r="N261" s="4">
        <f>IF(OR(J261="",K261=""),"",J261-M261-K261)</f>
        <v/>
      </c>
      <c r="O261" s="5">
        <f>IF(OR(J261="",J261=0),"",N261/J261)</f>
        <v/>
      </c>
    </row>
    <row r="262">
      <c r="B262" s="2">
        <f>IF(A262="","",IFERROR(INDEX('판매채널'!$B$2:$B$501,MATCH(A262,'판매채널'!$A$2:$A$501,0)),""))</f>
        <v/>
      </c>
      <c r="D262" s="2">
        <f>IF(C262="","",IFERROR(INDEX('판매구성'!$B$2:$B$501,MATCH(C262,'판매구성'!$A$2:$A$501,0)),""))</f>
        <v/>
      </c>
      <c r="G262" s="3" t="n"/>
      <c r="I262" s="2">
        <f>IF(C262="","",IFERROR(INDEX('판매구성'!$C$2:$C$501,MATCH(C262,'판매구성'!$A$2:$A$501,0)),""))</f>
        <v/>
      </c>
      <c r="J262" s="4">
        <f>IF(OR(C262="",E262=""),"",IFERROR(IF(INDEX('가격표'!$D$2:$K$501,MATCH(C262,'가격표'!$A$2:$A$501,0),MATCH(E262,'가격표'!$D$1:$K$1,0))="","",INDEX('가격표'!$D$2:$K$501,MATCH(C262,'가격표'!$A$2:$A$501,0),MATCH(E262,'가격표'!$D$1:$K$1,0))),""))</f>
        <v/>
      </c>
      <c r="K262" s="4">
        <f>IF(C262="","",IFERROR(INDEX('판매구성'!$D$2:$D$501,MATCH(C262,'판매구성'!$A$2:$A$501,0)),""))</f>
        <v/>
      </c>
      <c r="L262" s="4">
        <f>IF(OR(J262="",K262=""),"",ROUND(J262-(J262-K262)*'설정'!$B$2,0))</f>
        <v/>
      </c>
      <c r="M262" s="4">
        <f>IF(OR(A262="",J262=""),"",ROUND(J262*N(IFERROR(INDEX('판매채널'!$F$2:$F$501,MATCH(A262,'판매채널'!$A$2:$A$501,0)),"")),0))</f>
        <v/>
      </c>
      <c r="N262" s="4">
        <f>IF(OR(J262="",K262=""),"",J262-M262-K262)</f>
        <v/>
      </c>
      <c r="O262" s="5">
        <f>IF(OR(J262="",J262=0),"",N262/J262)</f>
        <v/>
      </c>
    </row>
    <row r="263">
      <c r="B263" s="2">
        <f>IF(A263="","",IFERROR(INDEX('판매채널'!$B$2:$B$501,MATCH(A263,'판매채널'!$A$2:$A$501,0)),""))</f>
        <v/>
      </c>
      <c r="D263" s="2">
        <f>IF(C263="","",IFERROR(INDEX('판매구성'!$B$2:$B$501,MATCH(C263,'판매구성'!$A$2:$A$501,0)),""))</f>
        <v/>
      </c>
      <c r="G263" s="3" t="n"/>
      <c r="I263" s="2">
        <f>IF(C263="","",IFERROR(INDEX('판매구성'!$C$2:$C$501,MATCH(C263,'판매구성'!$A$2:$A$501,0)),""))</f>
        <v/>
      </c>
      <c r="J263" s="4">
        <f>IF(OR(C263="",E263=""),"",IFERROR(IF(INDEX('가격표'!$D$2:$K$501,MATCH(C263,'가격표'!$A$2:$A$501,0),MATCH(E263,'가격표'!$D$1:$K$1,0))="","",INDEX('가격표'!$D$2:$K$501,MATCH(C263,'가격표'!$A$2:$A$501,0),MATCH(E263,'가격표'!$D$1:$K$1,0))),""))</f>
        <v/>
      </c>
      <c r="K263" s="4">
        <f>IF(C263="","",IFERROR(INDEX('판매구성'!$D$2:$D$501,MATCH(C263,'판매구성'!$A$2:$A$501,0)),""))</f>
        <v/>
      </c>
      <c r="L263" s="4">
        <f>IF(OR(J263="",K263=""),"",ROUND(J263-(J263-K263)*'설정'!$B$2,0))</f>
        <v/>
      </c>
      <c r="M263" s="4">
        <f>IF(OR(A263="",J263=""),"",ROUND(J263*N(IFERROR(INDEX('판매채널'!$F$2:$F$501,MATCH(A263,'판매채널'!$A$2:$A$501,0)),"")),0))</f>
        <v/>
      </c>
      <c r="N263" s="4">
        <f>IF(OR(J263="",K263=""),"",J263-M263-K263)</f>
        <v/>
      </c>
      <c r="O263" s="5">
        <f>IF(OR(J263="",J263=0),"",N263/J263)</f>
        <v/>
      </c>
    </row>
    <row r="264">
      <c r="B264" s="2">
        <f>IF(A264="","",IFERROR(INDEX('판매채널'!$B$2:$B$501,MATCH(A264,'판매채널'!$A$2:$A$501,0)),""))</f>
        <v/>
      </c>
      <c r="D264" s="2">
        <f>IF(C264="","",IFERROR(INDEX('판매구성'!$B$2:$B$501,MATCH(C264,'판매구성'!$A$2:$A$501,0)),""))</f>
        <v/>
      </c>
      <c r="G264" s="3" t="n"/>
      <c r="I264" s="2">
        <f>IF(C264="","",IFERROR(INDEX('판매구성'!$C$2:$C$501,MATCH(C264,'판매구성'!$A$2:$A$501,0)),""))</f>
        <v/>
      </c>
      <c r="J264" s="4">
        <f>IF(OR(C264="",E264=""),"",IFERROR(IF(INDEX('가격표'!$D$2:$K$501,MATCH(C264,'가격표'!$A$2:$A$501,0),MATCH(E264,'가격표'!$D$1:$K$1,0))="","",INDEX('가격표'!$D$2:$K$501,MATCH(C264,'가격표'!$A$2:$A$501,0),MATCH(E264,'가격표'!$D$1:$K$1,0))),""))</f>
        <v/>
      </c>
      <c r="K264" s="4">
        <f>IF(C264="","",IFERROR(INDEX('판매구성'!$D$2:$D$501,MATCH(C264,'판매구성'!$A$2:$A$501,0)),""))</f>
        <v/>
      </c>
      <c r="L264" s="4">
        <f>IF(OR(J264="",K264=""),"",ROUND(J264-(J264-K264)*'설정'!$B$2,0))</f>
        <v/>
      </c>
      <c r="M264" s="4">
        <f>IF(OR(A264="",J264=""),"",ROUND(J264*N(IFERROR(INDEX('판매채널'!$F$2:$F$501,MATCH(A264,'판매채널'!$A$2:$A$501,0)),"")),0))</f>
        <v/>
      </c>
      <c r="N264" s="4">
        <f>IF(OR(J264="",K264=""),"",J264-M264-K264)</f>
        <v/>
      </c>
      <c r="O264" s="5">
        <f>IF(OR(J264="",J264=0),"",N264/J264)</f>
        <v/>
      </c>
    </row>
    <row r="265">
      <c r="B265" s="2">
        <f>IF(A265="","",IFERROR(INDEX('판매채널'!$B$2:$B$501,MATCH(A265,'판매채널'!$A$2:$A$501,0)),""))</f>
        <v/>
      </c>
      <c r="D265" s="2">
        <f>IF(C265="","",IFERROR(INDEX('판매구성'!$B$2:$B$501,MATCH(C265,'판매구성'!$A$2:$A$501,0)),""))</f>
        <v/>
      </c>
      <c r="G265" s="3" t="n"/>
      <c r="I265" s="2">
        <f>IF(C265="","",IFERROR(INDEX('판매구성'!$C$2:$C$501,MATCH(C265,'판매구성'!$A$2:$A$501,0)),""))</f>
        <v/>
      </c>
      <c r="J265" s="4">
        <f>IF(OR(C265="",E265=""),"",IFERROR(IF(INDEX('가격표'!$D$2:$K$501,MATCH(C265,'가격표'!$A$2:$A$501,0),MATCH(E265,'가격표'!$D$1:$K$1,0))="","",INDEX('가격표'!$D$2:$K$501,MATCH(C265,'가격표'!$A$2:$A$501,0),MATCH(E265,'가격표'!$D$1:$K$1,0))),""))</f>
        <v/>
      </c>
      <c r="K265" s="4">
        <f>IF(C265="","",IFERROR(INDEX('판매구성'!$D$2:$D$501,MATCH(C265,'판매구성'!$A$2:$A$501,0)),""))</f>
        <v/>
      </c>
      <c r="L265" s="4">
        <f>IF(OR(J265="",K265=""),"",ROUND(J265-(J265-K265)*'설정'!$B$2,0))</f>
        <v/>
      </c>
      <c r="M265" s="4">
        <f>IF(OR(A265="",J265=""),"",ROUND(J265*N(IFERROR(INDEX('판매채널'!$F$2:$F$501,MATCH(A265,'판매채널'!$A$2:$A$501,0)),"")),0))</f>
        <v/>
      </c>
      <c r="N265" s="4">
        <f>IF(OR(J265="",K265=""),"",J265-M265-K265)</f>
        <v/>
      </c>
      <c r="O265" s="5">
        <f>IF(OR(J265="",J265=0),"",N265/J265)</f>
        <v/>
      </c>
    </row>
    <row r="266">
      <c r="B266" s="2">
        <f>IF(A266="","",IFERROR(INDEX('판매채널'!$B$2:$B$501,MATCH(A266,'판매채널'!$A$2:$A$501,0)),""))</f>
        <v/>
      </c>
      <c r="D266" s="2">
        <f>IF(C266="","",IFERROR(INDEX('판매구성'!$B$2:$B$501,MATCH(C266,'판매구성'!$A$2:$A$501,0)),""))</f>
        <v/>
      </c>
      <c r="G266" s="3" t="n"/>
      <c r="I266" s="2">
        <f>IF(C266="","",IFERROR(INDEX('판매구성'!$C$2:$C$501,MATCH(C266,'판매구성'!$A$2:$A$501,0)),""))</f>
        <v/>
      </c>
      <c r="J266" s="4">
        <f>IF(OR(C266="",E266=""),"",IFERROR(IF(INDEX('가격표'!$D$2:$K$501,MATCH(C266,'가격표'!$A$2:$A$501,0),MATCH(E266,'가격표'!$D$1:$K$1,0))="","",INDEX('가격표'!$D$2:$K$501,MATCH(C266,'가격표'!$A$2:$A$501,0),MATCH(E266,'가격표'!$D$1:$K$1,0))),""))</f>
        <v/>
      </c>
      <c r="K266" s="4">
        <f>IF(C266="","",IFERROR(INDEX('판매구성'!$D$2:$D$501,MATCH(C266,'판매구성'!$A$2:$A$501,0)),""))</f>
        <v/>
      </c>
      <c r="L266" s="4">
        <f>IF(OR(J266="",K266=""),"",ROUND(J266-(J266-K266)*'설정'!$B$2,0))</f>
        <v/>
      </c>
      <c r="M266" s="4">
        <f>IF(OR(A266="",J266=""),"",ROUND(J266*N(IFERROR(INDEX('판매채널'!$F$2:$F$501,MATCH(A266,'판매채널'!$A$2:$A$501,0)),"")),0))</f>
        <v/>
      </c>
      <c r="N266" s="4">
        <f>IF(OR(J266="",K266=""),"",J266-M266-K266)</f>
        <v/>
      </c>
      <c r="O266" s="5">
        <f>IF(OR(J266="",J266=0),"",N266/J266)</f>
        <v/>
      </c>
    </row>
    <row r="267">
      <c r="B267" s="2">
        <f>IF(A267="","",IFERROR(INDEX('판매채널'!$B$2:$B$501,MATCH(A267,'판매채널'!$A$2:$A$501,0)),""))</f>
        <v/>
      </c>
      <c r="D267" s="2">
        <f>IF(C267="","",IFERROR(INDEX('판매구성'!$B$2:$B$501,MATCH(C267,'판매구성'!$A$2:$A$501,0)),""))</f>
        <v/>
      </c>
      <c r="G267" s="3" t="n"/>
      <c r="I267" s="2">
        <f>IF(C267="","",IFERROR(INDEX('판매구성'!$C$2:$C$501,MATCH(C267,'판매구성'!$A$2:$A$501,0)),""))</f>
        <v/>
      </c>
      <c r="J267" s="4">
        <f>IF(OR(C267="",E267=""),"",IFERROR(IF(INDEX('가격표'!$D$2:$K$501,MATCH(C267,'가격표'!$A$2:$A$501,0),MATCH(E267,'가격표'!$D$1:$K$1,0))="","",INDEX('가격표'!$D$2:$K$501,MATCH(C267,'가격표'!$A$2:$A$501,0),MATCH(E267,'가격표'!$D$1:$K$1,0))),""))</f>
        <v/>
      </c>
      <c r="K267" s="4">
        <f>IF(C267="","",IFERROR(INDEX('판매구성'!$D$2:$D$501,MATCH(C267,'판매구성'!$A$2:$A$501,0)),""))</f>
        <v/>
      </c>
      <c r="L267" s="4">
        <f>IF(OR(J267="",K267=""),"",ROUND(J267-(J267-K267)*'설정'!$B$2,0))</f>
        <v/>
      </c>
      <c r="M267" s="4">
        <f>IF(OR(A267="",J267=""),"",ROUND(J267*N(IFERROR(INDEX('판매채널'!$F$2:$F$501,MATCH(A267,'판매채널'!$A$2:$A$501,0)),"")),0))</f>
        <v/>
      </c>
      <c r="N267" s="4">
        <f>IF(OR(J267="",K267=""),"",J267-M267-K267)</f>
        <v/>
      </c>
      <c r="O267" s="5">
        <f>IF(OR(J267="",J267=0),"",N267/J267)</f>
        <v/>
      </c>
    </row>
    <row r="268">
      <c r="B268" s="2">
        <f>IF(A268="","",IFERROR(INDEX('판매채널'!$B$2:$B$501,MATCH(A268,'판매채널'!$A$2:$A$501,0)),""))</f>
        <v/>
      </c>
      <c r="D268" s="2">
        <f>IF(C268="","",IFERROR(INDEX('판매구성'!$B$2:$B$501,MATCH(C268,'판매구성'!$A$2:$A$501,0)),""))</f>
        <v/>
      </c>
      <c r="G268" s="3" t="n"/>
      <c r="I268" s="2">
        <f>IF(C268="","",IFERROR(INDEX('판매구성'!$C$2:$C$501,MATCH(C268,'판매구성'!$A$2:$A$501,0)),""))</f>
        <v/>
      </c>
      <c r="J268" s="4">
        <f>IF(OR(C268="",E268=""),"",IFERROR(IF(INDEX('가격표'!$D$2:$K$501,MATCH(C268,'가격표'!$A$2:$A$501,0),MATCH(E268,'가격표'!$D$1:$K$1,0))="","",INDEX('가격표'!$D$2:$K$501,MATCH(C268,'가격표'!$A$2:$A$501,0),MATCH(E268,'가격표'!$D$1:$K$1,0))),""))</f>
        <v/>
      </c>
      <c r="K268" s="4">
        <f>IF(C268="","",IFERROR(INDEX('판매구성'!$D$2:$D$501,MATCH(C268,'판매구성'!$A$2:$A$501,0)),""))</f>
        <v/>
      </c>
      <c r="L268" s="4">
        <f>IF(OR(J268="",K268=""),"",ROUND(J268-(J268-K268)*'설정'!$B$2,0))</f>
        <v/>
      </c>
      <c r="M268" s="4">
        <f>IF(OR(A268="",J268=""),"",ROUND(J268*N(IFERROR(INDEX('판매채널'!$F$2:$F$501,MATCH(A268,'판매채널'!$A$2:$A$501,0)),"")),0))</f>
        <v/>
      </c>
      <c r="N268" s="4">
        <f>IF(OR(J268="",K268=""),"",J268-M268-K268)</f>
        <v/>
      </c>
      <c r="O268" s="5">
        <f>IF(OR(J268="",J268=0),"",N268/J268)</f>
        <v/>
      </c>
    </row>
    <row r="269">
      <c r="B269" s="2">
        <f>IF(A269="","",IFERROR(INDEX('판매채널'!$B$2:$B$501,MATCH(A269,'판매채널'!$A$2:$A$501,0)),""))</f>
        <v/>
      </c>
      <c r="D269" s="2">
        <f>IF(C269="","",IFERROR(INDEX('판매구성'!$B$2:$B$501,MATCH(C269,'판매구성'!$A$2:$A$501,0)),""))</f>
        <v/>
      </c>
      <c r="G269" s="3" t="n"/>
      <c r="I269" s="2">
        <f>IF(C269="","",IFERROR(INDEX('판매구성'!$C$2:$C$501,MATCH(C269,'판매구성'!$A$2:$A$501,0)),""))</f>
        <v/>
      </c>
      <c r="J269" s="4">
        <f>IF(OR(C269="",E269=""),"",IFERROR(IF(INDEX('가격표'!$D$2:$K$501,MATCH(C269,'가격표'!$A$2:$A$501,0),MATCH(E269,'가격표'!$D$1:$K$1,0))="","",INDEX('가격표'!$D$2:$K$501,MATCH(C269,'가격표'!$A$2:$A$501,0),MATCH(E269,'가격표'!$D$1:$K$1,0))),""))</f>
        <v/>
      </c>
      <c r="K269" s="4">
        <f>IF(C269="","",IFERROR(INDEX('판매구성'!$D$2:$D$501,MATCH(C269,'판매구성'!$A$2:$A$501,0)),""))</f>
        <v/>
      </c>
      <c r="L269" s="4">
        <f>IF(OR(J269="",K269=""),"",ROUND(J269-(J269-K269)*'설정'!$B$2,0))</f>
        <v/>
      </c>
      <c r="M269" s="4">
        <f>IF(OR(A269="",J269=""),"",ROUND(J269*N(IFERROR(INDEX('판매채널'!$F$2:$F$501,MATCH(A269,'판매채널'!$A$2:$A$501,0)),"")),0))</f>
        <v/>
      </c>
      <c r="N269" s="4">
        <f>IF(OR(J269="",K269=""),"",J269-M269-K269)</f>
        <v/>
      </c>
      <c r="O269" s="5">
        <f>IF(OR(J269="",J269=0),"",N269/J269)</f>
        <v/>
      </c>
    </row>
    <row r="270">
      <c r="B270" s="2">
        <f>IF(A270="","",IFERROR(INDEX('판매채널'!$B$2:$B$501,MATCH(A270,'판매채널'!$A$2:$A$501,0)),""))</f>
        <v/>
      </c>
      <c r="D270" s="2">
        <f>IF(C270="","",IFERROR(INDEX('판매구성'!$B$2:$B$501,MATCH(C270,'판매구성'!$A$2:$A$501,0)),""))</f>
        <v/>
      </c>
      <c r="G270" s="3" t="n"/>
      <c r="I270" s="2">
        <f>IF(C270="","",IFERROR(INDEX('판매구성'!$C$2:$C$501,MATCH(C270,'판매구성'!$A$2:$A$501,0)),""))</f>
        <v/>
      </c>
      <c r="J270" s="4">
        <f>IF(OR(C270="",E270=""),"",IFERROR(IF(INDEX('가격표'!$D$2:$K$501,MATCH(C270,'가격표'!$A$2:$A$501,0),MATCH(E270,'가격표'!$D$1:$K$1,0))="","",INDEX('가격표'!$D$2:$K$501,MATCH(C270,'가격표'!$A$2:$A$501,0),MATCH(E270,'가격표'!$D$1:$K$1,0))),""))</f>
        <v/>
      </c>
      <c r="K270" s="4">
        <f>IF(C270="","",IFERROR(INDEX('판매구성'!$D$2:$D$501,MATCH(C270,'판매구성'!$A$2:$A$501,0)),""))</f>
        <v/>
      </c>
      <c r="L270" s="4">
        <f>IF(OR(J270="",K270=""),"",ROUND(J270-(J270-K270)*'설정'!$B$2,0))</f>
        <v/>
      </c>
      <c r="M270" s="4">
        <f>IF(OR(A270="",J270=""),"",ROUND(J270*N(IFERROR(INDEX('판매채널'!$F$2:$F$501,MATCH(A270,'판매채널'!$A$2:$A$501,0)),"")),0))</f>
        <v/>
      </c>
      <c r="N270" s="4">
        <f>IF(OR(J270="",K270=""),"",J270-M270-K270)</f>
        <v/>
      </c>
      <c r="O270" s="5">
        <f>IF(OR(J270="",J270=0),"",N270/J270)</f>
        <v/>
      </c>
    </row>
    <row r="271">
      <c r="B271" s="2">
        <f>IF(A271="","",IFERROR(INDEX('판매채널'!$B$2:$B$501,MATCH(A271,'판매채널'!$A$2:$A$501,0)),""))</f>
        <v/>
      </c>
      <c r="D271" s="2">
        <f>IF(C271="","",IFERROR(INDEX('판매구성'!$B$2:$B$501,MATCH(C271,'판매구성'!$A$2:$A$501,0)),""))</f>
        <v/>
      </c>
      <c r="G271" s="3" t="n"/>
      <c r="I271" s="2">
        <f>IF(C271="","",IFERROR(INDEX('판매구성'!$C$2:$C$501,MATCH(C271,'판매구성'!$A$2:$A$501,0)),""))</f>
        <v/>
      </c>
      <c r="J271" s="4">
        <f>IF(OR(C271="",E271=""),"",IFERROR(IF(INDEX('가격표'!$D$2:$K$501,MATCH(C271,'가격표'!$A$2:$A$501,0),MATCH(E271,'가격표'!$D$1:$K$1,0))="","",INDEX('가격표'!$D$2:$K$501,MATCH(C271,'가격표'!$A$2:$A$501,0),MATCH(E271,'가격표'!$D$1:$K$1,0))),""))</f>
        <v/>
      </c>
      <c r="K271" s="4">
        <f>IF(C271="","",IFERROR(INDEX('판매구성'!$D$2:$D$501,MATCH(C271,'판매구성'!$A$2:$A$501,0)),""))</f>
        <v/>
      </c>
      <c r="L271" s="4">
        <f>IF(OR(J271="",K271=""),"",ROUND(J271-(J271-K271)*'설정'!$B$2,0))</f>
        <v/>
      </c>
      <c r="M271" s="4">
        <f>IF(OR(A271="",J271=""),"",ROUND(J271*N(IFERROR(INDEX('판매채널'!$F$2:$F$501,MATCH(A271,'판매채널'!$A$2:$A$501,0)),"")),0))</f>
        <v/>
      </c>
      <c r="N271" s="4">
        <f>IF(OR(J271="",K271=""),"",J271-M271-K271)</f>
        <v/>
      </c>
      <c r="O271" s="5">
        <f>IF(OR(J271="",J271=0),"",N271/J271)</f>
        <v/>
      </c>
    </row>
    <row r="272">
      <c r="B272" s="2">
        <f>IF(A272="","",IFERROR(INDEX('판매채널'!$B$2:$B$501,MATCH(A272,'판매채널'!$A$2:$A$501,0)),""))</f>
        <v/>
      </c>
      <c r="D272" s="2">
        <f>IF(C272="","",IFERROR(INDEX('판매구성'!$B$2:$B$501,MATCH(C272,'판매구성'!$A$2:$A$501,0)),""))</f>
        <v/>
      </c>
      <c r="G272" s="3" t="n"/>
      <c r="I272" s="2">
        <f>IF(C272="","",IFERROR(INDEX('판매구성'!$C$2:$C$501,MATCH(C272,'판매구성'!$A$2:$A$501,0)),""))</f>
        <v/>
      </c>
      <c r="J272" s="4">
        <f>IF(OR(C272="",E272=""),"",IFERROR(IF(INDEX('가격표'!$D$2:$K$501,MATCH(C272,'가격표'!$A$2:$A$501,0),MATCH(E272,'가격표'!$D$1:$K$1,0))="","",INDEX('가격표'!$D$2:$K$501,MATCH(C272,'가격표'!$A$2:$A$501,0),MATCH(E272,'가격표'!$D$1:$K$1,0))),""))</f>
        <v/>
      </c>
      <c r="K272" s="4">
        <f>IF(C272="","",IFERROR(INDEX('판매구성'!$D$2:$D$501,MATCH(C272,'판매구성'!$A$2:$A$501,0)),""))</f>
        <v/>
      </c>
      <c r="L272" s="4">
        <f>IF(OR(J272="",K272=""),"",ROUND(J272-(J272-K272)*'설정'!$B$2,0))</f>
        <v/>
      </c>
      <c r="M272" s="4">
        <f>IF(OR(A272="",J272=""),"",ROUND(J272*N(IFERROR(INDEX('판매채널'!$F$2:$F$501,MATCH(A272,'판매채널'!$A$2:$A$501,0)),"")),0))</f>
        <v/>
      </c>
      <c r="N272" s="4">
        <f>IF(OR(J272="",K272=""),"",J272-M272-K272)</f>
        <v/>
      </c>
      <c r="O272" s="5">
        <f>IF(OR(J272="",J272=0),"",N272/J272)</f>
        <v/>
      </c>
    </row>
    <row r="273">
      <c r="B273" s="2">
        <f>IF(A273="","",IFERROR(INDEX('판매채널'!$B$2:$B$501,MATCH(A273,'판매채널'!$A$2:$A$501,0)),""))</f>
        <v/>
      </c>
      <c r="D273" s="2">
        <f>IF(C273="","",IFERROR(INDEX('판매구성'!$B$2:$B$501,MATCH(C273,'판매구성'!$A$2:$A$501,0)),""))</f>
        <v/>
      </c>
      <c r="G273" s="3" t="n"/>
      <c r="I273" s="2">
        <f>IF(C273="","",IFERROR(INDEX('판매구성'!$C$2:$C$501,MATCH(C273,'판매구성'!$A$2:$A$501,0)),""))</f>
        <v/>
      </c>
      <c r="J273" s="4">
        <f>IF(OR(C273="",E273=""),"",IFERROR(IF(INDEX('가격표'!$D$2:$K$501,MATCH(C273,'가격표'!$A$2:$A$501,0),MATCH(E273,'가격표'!$D$1:$K$1,0))="","",INDEX('가격표'!$D$2:$K$501,MATCH(C273,'가격표'!$A$2:$A$501,0),MATCH(E273,'가격표'!$D$1:$K$1,0))),""))</f>
        <v/>
      </c>
      <c r="K273" s="4">
        <f>IF(C273="","",IFERROR(INDEX('판매구성'!$D$2:$D$501,MATCH(C273,'판매구성'!$A$2:$A$501,0)),""))</f>
        <v/>
      </c>
      <c r="L273" s="4">
        <f>IF(OR(J273="",K273=""),"",ROUND(J273-(J273-K273)*'설정'!$B$2,0))</f>
        <v/>
      </c>
      <c r="M273" s="4">
        <f>IF(OR(A273="",J273=""),"",ROUND(J273*N(IFERROR(INDEX('판매채널'!$F$2:$F$501,MATCH(A273,'판매채널'!$A$2:$A$501,0)),"")),0))</f>
        <v/>
      </c>
      <c r="N273" s="4">
        <f>IF(OR(J273="",K273=""),"",J273-M273-K273)</f>
        <v/>
      </c>
      <c r="O273" s="5">
        <f>IF(OR(J273="",J273=0),"",N273/J273)</f>
        <v/>
      </c>
    </row>
    <row r="274">
      <c r="B274" s="2">
        <f>IF(A274="","",IFERROR(INDEX('판매채널'!$B$2:$B$501,MATCH(A274,'판매채널'!$A$2:$A$501,0)),""))</f>
        <v/>
      </c>
      <c r="D274" s="2">
        <f>IF(C274="","",IFERROR(INDEX('판매구성'!$B$2:$B$501,MATCH(C274,'판매구성'!$A$2:$A$501,0)),""))</f>
        <v/>
      </c>
      <c r="G274" s="3" t="n"/>
      <c r="I274" s="2">
        <f>IF(C274="","",IFERROR(INDEX('판매구성'!$C$2:$C$501,MATCH(C274,'판매구성'!$A$2:$A$501,0)),""))</f>
        <v/>
      </c>
      <c r="J274" s="4">
        <f>IF(OR(C274="",E274=""),"",IFERROR(IF(INDEX('가격표'!$D$2:$K$501,MATCH(C274,'가격표'!$A$2:$A$501,0),MATCH(E274,'가격표'!$D$1:$K$1,0))="","",INDEX('가격표'!$D$2:$K$501,MATCH(C274,'가격표'!$A$2:$A$501,0),MATCH(E274,'가격표'!$D$1:$K$1,0))),""))</f>
        <v/>
      </c>
      <c r="K274" s="4">
        <f>IF(C274="","",IFERROR(INDEX('판매구성'!$D$2:$D$501,MATCH(C274,'판매구성'!$A$2:$A$501,0)),""))</f>
        <v/>
      </c>
      <c r="L274" s="4">
        <f>IF(OR(J274="",K274=""),"",ROUND(J274-(J274-K274)*'설정'!$B$2,0))</f>
        <v/>
      </c>
      <c r="M274" s="4">
        <f>IF(OR(A274="",J274=""),"",ROUND(J274*N(IFERROR(INDEX('판매채널'!$F$2:$F$501,MATCH(A274,'판매채널'!$A$2:$A$501,0)),"")),0))</f>
        <v/>
      </c>
      <c r="N274" s="4">
        <f>IF(OR(J274="",K274=""),"",J274-M274-K274)</f>
        <v/>
      </c>
      <c r="O274" s="5">
        <f>IF(OR(J274="",J274=0),"",N274/J274)</f>
        <v/>
      </c>
    </row>
    <row r="275">
      <c r="B275" s="2">
        <f>IF(A275="","",IFERROR(INDEX('판매채널'!$B$2:$B$501,MATCH(A275,'판매채널'!$A$2:$A$501,0)),""))</f>
        <v/>
      </c>
      <c r="D275" s="2">
        <f>IF(C275="","",IFERROR(INDEX('판매구성'!$B$2:$B$501,MATCH(C275,'판매구성'!$A$2:$A$501,0)),""))</f>
        <v/>
      </c>
      <c r="G275" s="3" t="n"/>
      <c r="I275" s="2">
        <f>IF(C275="","",IFERROR(INDEX('판매구성'!$C$2:$C$501,MATCH(C275,'판매구성'!$A$2:$A$501,0)),""))</f>
        <v/>
      </c>
      <c r="J275" s="4">
        <f>IF(OR(C275="",E275=""),"",IFERROR(IF(INDEX('가격표'!$D$2:$K$501,MATCH(C275,'가격표'!$A$2:$A$501,0),MATCH(E275,'가격표'!$D$1:$K$1,0))="","",INDEX('가격표'!$D$2:$K$501,MATCH(C275,'가격표'!$A$2:$A$501,0),MATCH(E275,'가격표'!$D$1:$K$1,0))),""))</f>
        <v/>
      </c>
      <c r="K275" s="4">
        <f>IF(C275="","",IFERROR(INDEX('판매구성'!$D$2:$D$501,MATCH(C275,'판매구성'!$A$2:$A$501,0)),""))</f>
        <v/>
      </c>
      <c r="L275" s="4">
        <f>IF(OR(J275="",K275=""),"",ROUND(J275-(J275-K275)*'설정'!$B$2,0))</f>
        <v/>
      </c>
      <c r="M275" s="4">
        <f>IF(OR(A275="",J275=""),"",ROUND(J275*N(IFERROR(INDEX('판매채널'!$F$2:$F$501,MATCH(A275,'판매채널'!$A$2:$A$501,0)),"")),0))</f>
        <v/>
      </c>
      <c r="N275" s="4">
        <f>IF(OR(J275="",K275=""),"",J275-M275-K275)</f>
        <v/>
      </c>
      <c r="O275" s="5">
        <f>IF(OR(J275="",J275=0),"",N275/J275)</f>
        <v/>
      </c>
    </row>
    <row r="276">
      <c r="B276" s="2">
        <f>IF(A276="","",IFERROR(INDEX('판매채널'!$B$2:$B$501,MATCH(A276,'판매채널'!$A$2:$A$501,0)),""))</f>
        <v/>
      </c>
      <c r="D276" s="2">
        <f>IF(C276="","",IFERROR(INDEX('판매구성'!$B$2:$B$501,MATCH(C276,'판매구성'!$A$2:$A$501,0)),""))</f>
        <v/>
      </c>
      <c r="G276" s="3" t="n"/>
      <c r="I276" s="2">
        <f>IF(C276="","",IFERROR(INDEX('판매구성'!$C$2:$C$501,MATCH(C276,'판매구성'!$A$2:$A$501,0)),""))</f>
        <v/>
      </c>
      <c r="J276" s="4">
        <f>IF(OR(C276="",E276=""),"",IFERROR(IF(INDEX('가격표'!$D$2:$K$501,MATCH(C276,'가격표'!$A$2:$A$501,0),MATCH(E276,'가격표'!$D$1:$K$1,0))="","",INDEX('가격표'!$D$2:$K$501,MATCH(C276,'가격표'!$A$2:$A$501,0),MATCH(E276,'가격표'!$D$1:$K$1,0))),""))</f>
        <v/>
      </c>
      <c r="K276" s="4">
        <f>IF(C276="","",IFERROR(INDEX('판매구성'!$D$2:$D$501,MATCH(C276,'판매구성'!$A$2:$A$501,0)),""))</f>
        <v/>
      </c>
      <c r="L276" s="4">
        <f>IF(OR(J276="",K276=""),"",ROUND(J276-(J276-K276)*'설정'!$B$2,0))</f>
        <v/>
      </c>
      <c r="M276" s="4">
        <f>IF(OR(A276="",J276=""),"",ROUND(J276*N(IFERROR(INDEX('판매채널'!$F$2:$F$501,MATCH(A276,'판매채널'!$A$2:$A$501,0)),"")),0))</f>
        <v/>
      </c>
      <c r="N276" s="4">
        <f>IF(OR(J276="",K276=""),"",J276-M276-K276)</f>
        <v/>
      </c>
      <c r="O276" s="5">
        <f>IF(OR(J276="",J276=0),"",N276/J276)</f>
        <v/>
      </c>
    </row>
    <row r="277">
      <c r="B277" s="2">
        <f>IF(A277="","",IFERROR(INDEX('판매채널'!$B$2:$B$501,MATCH(A277,'판매채널'!$A$2:$A$501,0)),""))</f>
        <v/>
      </c>
      <c r="D277" s="2">
        <f>IF(C277="","",IFERROR(INDEX('판매구성'!$B$2:$B$501,MATCH(C277,'판매구성'!$A$2:$A$501,0)),""))</f>
        <v/>
      </c>
      <c r="G277" s="3" t="n"/>
      <c r="I277" s="2">
        <f>IF(C277="","",IFERROR(INDEX('판매구성'!$C$2:$C$501,MATCH(C277,'판매구성'!$A$2:$A$501,0)),""))</f>
        <v/>
      </c>
      <c r="J277" s="4">
        <f>IF(OR(C277="",E277=""),"",IFERROR(IF(INDEX('가격표'!$D$2:$K$501,MATCH(C277,'가격표'!$A$2:$A$501,0),MATCH(E277,'가격표'!$D$1:$K$1,0))="","",INDEX('가격표'!$D$2:$K$501,MATCH(C277,'가격표'!$A$2:$A$501,0),MATCH(E277,'가격표'!$D$1:$K$1,0))),""))</f>
        <v/>
      </c>
      <c r="K277" s="4">
        <f>IF(C277="","",IFERROR(INDEX('판매구성'!$D$2:$D$501,MATCH(C277,'판매구성'!$A$2:$A$501,0)),""))</f>
        <v/>
      </c>
      <c r="L277" s="4">
        <f>IF(OR(J277="",K277=""),"",ROUND(J277-(J277-K277)*'설정'!$B$2,0))</f>
        <v/>
      </c>
      <c r="M277" s="4">
        <f>IF(OR(A277="",J277=""),"",ROUND(J277*N(IFERROR(INDEX('판매채널'!$F$2:$F$501,MATCH(A277,'판매채널'!$A$2:$A$501,0)),"")),0))</f>
        <v/>
      </c>
      <c r="N277" s="4">
        <f>IF(OR(J277="",K277=""),"",J277-M277-K277)</f>
        <v/>
      </c>
      <c r="O277" s="5">
        <f>IF(OR(J277="",J277=0),"",N277/J277)</f>
        <v/>
      </c>
    </row>
    <row r="278">
      <c r="B278" s="2">
        <f>IF(A278="","",IFERROR(INDEX('판매채널'!$B$2:$B$501,MATCH(A278,'판매채널'!$A$2:$A$501,0)),""))</f>
        <v/>
      </c>
      <c r="D278" s="2">
        <f>IF(C278="","",IFERROR(INDEX('판매구성'!$B$2:$B$501,MATCH(C278,'판매구성'!$A$2:$A$501,0)),""))</f>
        <v/>
      </c>
      <c r="G278" s="3" t="n"/>
      <c r="I278" s="2">
        <f>IF(C278="","",IFERROR(INDEX('판매구성'!$C$2:$C$501,MATCH(C278,'판매구성'!$A$2:$A$501,0)),""))</f>
        <v/>
      </c>
      <c r="J278" s="4">
        <f>IF(OR(C278="",E278=""),"",IFERROR(IF(INDEX('가격표'!$D$2:$K$501,MATCH(C278,'가격표'!$A$2:$A$501,0),MATCH(E278,'가격표'!$D$1:$K$1,0))="","",INDEX('가격표'!$D$2:$K$501,MATCH(C278,'가격표'!$A$2:$A$501,0),MATCH(E278,'가격표'!$D$1:$K$1,0))),""))</f>
        <v/>
      </c>
      <c r="K278" s="4">
        <f>IF(C278="","",IFERROR(INDEX('판매구성'!$D$2:$D$501,MATCH(C278,'판매구성'!$A$2:$A$501,0)),""))</f>
        <v/>
      </c>
      <c r="L278" s="4">
        <f>IF(OR(J278="",K278=""),"",ROUND(J278-(J278-K278)*'설정'!$B$2,0))</f>
        <v/>
      </c>
      <c r="M278" s="4">
        <f>IF(OR(A278="",J278=""),"",ROUND(J278*N(IFERROR(INDEX('판매채널'!$F$2:$F$501,MATCH(A278,'판매채널'!$A$2:$A$501,0)),"")),0))</f>
        <v/>
      </c>
      <c r="N278" s="4">
        <f>IF(OR(J278="",K278=""),"",J278-M278-K278)</f>
        <v/>
      </c>
      <c r="O278" s="5">
        <f>IF(OR(J278="",J278=0),"",N278/J278)</f>
        <v/>
      </c>
    </row>
    <row r="279">
      <c r="B279" s="2">
        <f>IF(A279="","",IFERROR(INDEX('판매채널'!$B$2:$B$501,MATCH(A279,'판매채널'!$A$2:$A$501,0)),""))</f>
        <v/>
      </c>
      <c r="D279" s="2">
        <f>IF(C279="","",IFERROR(INDEX('판매구성'!$B$2:$B$501,MATCH(C279,'판매구성'!$A$2:$A$501,0)),""))</f>
        <v/>
      </c>
      <c r="G279" s="3" t="n"/>
      <c r="I279" s="2">
        <f>IF(C279="","",IFERROR(INDEX('판매구성'!$C$2:$C$501,MATCH(C279,'판매구성'!$A$2:$A$501,0)),""))</f>
        <v/>
      </c>
      <c r="J279" s="4">
        <f>IF(OR(C279="",E279=""),"",IFERROR(IF(INDEX('가격표'!$D$2:$K$501,MATCH(C279,'가격표'!$A$2:$A$501,0),MATCH(E279,'가격표'!$D$1:$K$1,0))="","",INDEX('가격표'!$D$2:$K$501,MATCH(C279,'가격표'!$A$2:$A$501,0),MATCH(E279,'가격표'!$D$1:$K$1,0))),""))</f>
        <v/>
      </c>
      <c r="K279" s="4">
        <f>IF(C279="","",IFERROR(INDEX('판매구성'!$D$2:$D$501,MATCH(C279,'판매구성'!$A$2:$A$501,0)),""))</f>
        <v/>
      </c>
      <c r="L279" s="4">
        <f>IF(OR(J279="",K279=""),"",ROUND(J279-(J279-K279)*'설정'!$B$2,0))</f>
        <v/>
      </c>
      <c r="M279" s="4">
        <f>IF(OR(A279="",J279=""),"",ROUND(J279*N(IFERROR(INDEX('판매채널'!$F$2:$F$501,MATCH(A279,'판매채널'!$A$2:$A$501,0)),"")),0))</f>
        <v/>
      </c>
      <c r="N279" s="4">
        <f>IF(OR(J279="",K279=""),"",J279-M279-K279)</f>
        <v/>
      </c>
      <c r="O279" s="5">
        <f>IF(OR(J279="",J279=0),"",N279/J279)</f>
        <v/>
      </c>
    </row>
    <row r="280">
      <c r="B280" s="2">
        <f>IF(A280="","",IFERROR(INDEX('판매채널'!$B$2:$B$501,MATCH(A280,'판매채널'!$A$2:$A$501,0)),""))</f>
        <v/>
      </c>
      <c r="D280" s="2">
        <f>IF(C280="","",IFERROR(INDEX('판매구성'!$B$2:$B$501,MATCH(C280,'판매구성'!$A$2:$A$501,0)),""))</f>
        <v/>
      </c>
      <c r="G280" s="3" t="n"/>
      <c r="I280" s="2">
        <f>IF(C280="","",IFERROR(INDEX('판매구성'!$C$2:$C$501,MATCH(C280,'판매구성'!$A$2:$A$501,0)),""))</f>
        <v/>
      </c>
      <c r="J280" s="4">
        <f>IF(OR(C280="",E280=""),"",IFERROR(IF(INDEX('가격표'!$D$2:$K$501,MATCH(C280,'가격표'!$A$2:$A$501,0),MATCH(E280,'가격표'!$D$1:$K$1,0))="","",INDEX('가격표'!$D$2:$K$501,MATCH(C280,'가격표'!$A$2:$A$501,0),MATCH(E280,'가격표'!$D$1:$K$1,0))),""))</f>
        <v/>
      </c>
      <c r="K280" s="4">
        <f>IF(C280="","",IFERROR(INDEX('판매구성'!$D$2:$D$501,MATCH(C280,'판매구성'!$A$2:$A$501,0)),""))</f>
        <v/>
      </c>
      <c r="L280" s="4">
        <f>IF(OR(J280="",K280=""),"",ROUND(J280-(J280-K280)*'설정'!$B$2,0))</f>
        <v/>
      </c>
      <c r="M280" s="4">
        <f>IF(OR(A280="",J280=""),"",ROUND(J280*N(IFERROR(INDEX('판매채널'!$F$2:$F$501,MATCH(A280,'판매채널'!$A$2:$A$501,0)),"")),0))</f>
        <v/>
      </c>
      <c r="N280" s="4">
        <f>IF(OR(J280="",K280=""),"",J280-M280-K280)</f>
        <v/>
      </c>
      <c r="O280" s="5">
        <f>IF(OR(J280="",J280=0),"",N280/J280)</f>
        <v/>
      </c>
    </row>
    <row r="281">
      <c r="B281" s="2">
        <f>IF(A281="","",IFERROR(INDEX('판매채널'!$B$2:$B$501,MATCH(A281,'판매채널'!$A$2:$A$501,0)),""))</f>
        <v/>
      </c>
      <c r="D281" s="2">
        <f>IF(C281="","",IFERROR(INDEX('판매구성'!$B$2:$B$501,MATCH(C281,'판매구성'!$A$2:$A$501,0)),""))</f>
        <v/>
      </c>
      <c r="G281" s="3" t="n"/>
      <c r="I281" s="2">
        <f>IF(C281="","",IFERROR(INDEX('판매구성'!$C$2:$C$501,MATCH(C281,'판매구성'!$A$2:$A$501,0)),""))</f>
        <v/>
      </c>
      <c r="J281" s="4">
        <f>IF(OR(C281="",E281=""),"",IFERROR(IF(INDEX('가격표'!$D$2:$K$501,MATCH(C281,'가격표'!$A$2:$A$501,0),MATCH(E281,'가격표'!$D$1:$K$1,0))="","",INDEX('가격표'!$D$2:$K$501,MATCH(C281,'가격표'!$A$2:$A$501,0),MATCH(E281,'가격표'!$D$1:$K$1,0))),""))</f>
        <v/>
      </c>
      <c r="K281" s="4">
        <f>IF(C281="","",IFERROR(INDEX('판매구성'!$D$2:$D$501,MATCH(C281,'판매구성'!$A$2:$A$501,0)),""))</f>
        <v/>
      </c>
      <c r="L281" s="4">
        <f>IF(OR(J281="",K281=""),"",ROUND(J281-(J281-K281)*'설정'!$B$2,0))</f>
        <v/>
      </c>
      <c r="M281" s="4">
        <f>IF(OR(A281="",J281=""),"",ROUND(J281*N(IFERROR(INDEX('판매채널'!$F$2:$F$501,MATCH(A281,'판매채널'!$A$2:$A$501,0)),"")),0))</f>
        <v/>
      </c>
      <c r="N281" s="4">
        <f>IF(OR(J281="",K281=""),"",J281-M281-K281)</f>
        <v/>
      </c>
      <c r="O281" s="5">
        <f>IF(OR(J281="",J281=0),"",N281/J281)</f>
        <v/>
      </c>
    </row>
    <row r="282">
      <c r="B282" s="2">
        <f>IF(A282="","",IFERROR(INDEX('판매채널'!$B$2:$B$501,MATCH(A282,'판매채널'!$A$2:$A$501,0)),""))</f>
        <v/>
      </c>
      <c r="D282" s="2">
        <f>IF(C282="","",IFERROR(INDEX('판매구성'!$B$2:$B$501,MATCH(C282,'판매구성'!$A$2:$A$501,0)),""))</f>
        <v/>
      </c>
      <c r="G282" s="3" t="n"/>
      <c r="I282" s="2">
        <f>IF(C282="","",IFERROR(INDEX('판매구성'!$C$2:$C$501,MATCH(C282,'판매구성'!$A$2:$A$501,0)),""))</f>
        <v/>
      </c>
      <c r="J282" s="4">
        <f>IF(OR(C282="",E282=""),"",IFERROR(IF(INDEX('가격표'!$D$2:$K$501,MATCH(C282,'가격표'!$A$2:$A$501,0),MATCH(E282,'가격표'!$D$1:$K$1,0))="","",INDEX('가격표'!$D$2:$K$501,MATCH(C282,'가격표'!$A$2:$A$501,0),MATCH(E282,'가격표'!$D$1:$K$1,0))),""))</f>
        <v/>
      </c>
      <c r="K282" s="4">
        <f>IF(C282="","",IFERROR(INDEX('판매구성'!$D$2:$D$501,MATCH(C282,'판매구성'!$A$2:$A$501,0)),""))</f>
        <v/>
      </c>
      <c r="L282" s="4">
        <f>IF(OR(J282="",K282=""),"",ROUND(J282-(J282-K282)*'설정'!$B$2,0))</f>
        <v/>
      </c>
      <c r="M282" s="4">
        <f>IF(OR(A282="",J282=""),"",ROUND(J282*N(IFERROR(INDEX('판매채널'!$F$2:$F$501,MATCH(A282,'판매채널'!$A$2:$A$501,0)),"")),0))</f>
        <v/>
      </c>
      <c r="N282" s="4">
        <f>IF(OR(J282="",K282=""),"",J282-M282-K282)</f>
        <v/>
      </c>
      <c r="O282" s="5">
        <f>IF(OR(J282="",J282=0),"",N282/J282)</f>
        <v/>
      </c>
    </row>
    <row r="283">
      <c r="B283" s="2">
        <f>IF(A283="","",IFERROR(INDEX('판매채널'!$B$2:$B$501,MATCH(A283,'판매채널'!$A$2:$A$501,0)),""))</f>
        <v/>
      </c>
      <c r="D283" s="2">
        <f>IF(C283="","",IFERROR(INDEX('판매구성'!$B$2:$B$501,MATCH(C283,'판매구성'!$A$2:$A$501,0)),""))</f>
        <v/>
      </c>
      <c r="G283" s="3" t="n"/>
      <c r="I283" s="2">
        <f>IF(C283="","",IFERROR(INDEX('판매구성'!$C$2:$C$501,MATCH(C283,'판매구성'!$A$2:$A$501,0)),""))</f>
        <v/>
      </c>
      <c r="J283" s="4">
        <f>IF(OR(C283="",E283=""),"",IFERROR(IF(INDEX('가격표'!$D$2:$K$501,MATCH(C283,'가격표'!$A$2:$A$501,0),MATCH(E283,'가격표'!$D$1:$K$1,0))="","",INDEX('가격표'!$D$2:$K$501,MATCH(C283,'가격표'!$A$2:$A$501,0),MATCH(E283,'가격표'!$D$1:$K$1,0))),""))</f>
        <v/>
      </c>
      <c r="K283" s="4">
        <f>IF(C283="","",IFERROR(INDEX('판매구성'!$D$2:$D$501,MATCH(C283,'판매구성'!$A$2:$A$501,0)),""))</f>
        <v/>
      </c>
      <c r="L283" s="4">
        <f>IF(OR(J283="",K283=""),"",ROUND(J283-(J283-K283)*'설정'!$B$2,0))</f>
        <v/>
      </c>
      <c r="M283" s="4">
        <f>IF(OR(A283="",J283=""),"",ROUND(J283*N(IFERROR(INDEX('판매채널'!$F$2:$F$501,MATCH(A283,'판매채널'!$A$2:$A$501,0)),"")),0))</f>
        <v/>
      </c>
      <c r="N283" s="4">
        <f>IF(OR(J283="",K283=""),"",J283-M283-K283)</f>
        <v/>
      </c>
      <c r="O283" s="5">
        <f>IF(OR(J283="",J283=0),"",N283/J283)</f>
        <v/>
      </c>
    </row>
    <row r="284">
      <c r="B284" s="2">
        <f>IF(A284="","",IFERROR(INDEX('판매채널'!$B$2:$B$501,MATCH(A284,'판매채널'!$A$2:$A$501,0)),""))</f>
        <v/>
      </c>
      <c r="D284" s="2">
        <f>IF(C284="","",IFERROR(INDEX('판매구성'!$B$2:$B$501,MATCH(C284,'판매구성'!$A$2:$A$501,0)),""))</f>
        <v/>
      </c>
      <c r="G284" s="3" t="n"/>
      <c r="I284" s="2">
        <f>IF(C284="","",IFERROR(INDEX('판매구성'!$C$2:$C$501,MATCH(C284,'판매구성'!$A$2:$A$501,0)),""))</f>
        <v/>
      </c>
      <c r="J284" s="4">
        <f>IF(OR(C284="",E284=""),"",IFERROR(IF(INDEX('가격표'!$D$2:$K$501,MATCH(C284,'가격표'!$A$2:$A$501,0),MATCH(E284,'가격표'!$D$1:$K$1,0))="","",INDEX('가격표'!$D$2:$K$501,MATCH(C284,'가격표'!$A$2:$A$501,0),MATCH(E284,'가격표'!$D$1:$K$1,0))),""))</f>
        <v/>
      </c>
      <c r="K284" s="4">
        <f>IF(C284="","",IFERROR(INDEX('판매구성'!$D$2:$D$501,MATCH(C284,'판매구성'!$A$2:$A$501,0)),""))</f>
        <v/>
      </c>
      <c r="L284" s="4">
        <f>IF(OR(J284="",K284=""),"",ROUND(J284-(J284-K284)*'설정'!$B$2,0))</f>
        <v/>
      </c>
      <c r="M284" s="4">
        <f>IF(OR(A284="",J284=""),"",ROUND(J284*N(IFERROR(INDEX('판매채널'!$F$2:$F$501,MATCH(A284,'판매채널'!$A$2:$A$501,0)),"")),0))</f>
        <v/>
      </c>
      <c r="N284" s="4">
        <f>IF(OR(J284="",K284=""),"",J284-M284-K284)</f>
        <v/>
      </c>
      <c r="O284" s="5">
        <f>IF(OR(J284="",J284=0),"",N284/J284)</f>
        <v/>
      </c>
    </row>
    <row r="285">
      <c r="B285" s="2">
        <f>IF(A285="","",IFERROR(INDEX('판매채널'!$B$2:$B$501,MATCH(A285,'판매채널'!$A$2:$A$501,0)),""))</f>
        <v/>
      </c>
      <c r="D285" s="2">
        <f>IF(C285="","",IFERROR(INDEX('판매구성'!$B$2:$B$501,MATCH(C285,'판매구성'!$A$2:$A$501,0)),""))</f>
        <v/>
      </c>
      <c r="G285" s="3" t="n"/>
      <c r="I285" s="2">
        <f>IF(C285="","",IFERROR(INDEX('판매구성'!$C$2:$C$501,MATCH(C285,'판매구성'!$A$2:$A$501,0)),""))</f>
        <v/>
      </c>
      <c r="J285" s="4">
        <f>IF(OR(C285="",E285=""),"",IFERROR(IF(INDEX('가격표'!$D$2:$K$501,MATCH(C285,'가격표'!$A$2:$A$501,0),MATCH(E285,'가격표'!$D$1:$K$1,0))="","",INDEX('가격표'!$D$2:$K$501,MATCH(C285,'가격표'!$A$2:$A$501,0),MATCH(E285,'가격표'!$D$1:$K$1,0))),""))</f>
        <v/>
      </c>
      <c r="K285" s="4">
        <f>IF(C285="","",IFERROR(INDEX('판매구성'!$D$2:$D$501,MATCH(C285,'판매구성'!$A$2:$A$501,0)),""))</f>
        <v/>
      </c>
      <c r="L285" s="4">
        <f>IF(OR(J285="",K285=""),"",ROUND(J285-(J285-K285)*'설정'!$B$2,0))</f>
        <v/>
      </c>
      <c r="M285" s="4">
        <f>IF(OR(A285="",J285=""),"",ROUND(J285*N(IFERROR(INDEX('판매채널'!$F$2:$F$501,MATCH(A285,'판매채널'!$A$2:$A$501,0)),"")),0))</f>
        <v/>
      </c>
      <c r="N285" s="4">
        <f>IF(OR(J285="",K285=""),"",J285-M285-K285)</f>
        <v/>
      </c>
      <c r="O285" s="5">
        <f>IF(OR(J285="",J285=0),"",N285/J285)</f>
        <v/>
      </c>
    </row>
    <row r="286">
      <c r="B286" s="2">
        <f>IF(A286="","",IFERROR(INDEX('판매채널'!$B$2:$B$501,MATCH(A286,'판매채널'!$A$2:$A$501,0)),""))</f>
        <v/>
      </c>
      <c r="D286" s="2">
        <f>IF(C286="","",IFERROR(INDEX('판매구성'!$B$2:$B$501,MATCH(C286,'판매구성'!$A$2:$A$501,0)),""))</f>
        <v/>
      </c>
      <c r="G286" s="3" t="n"/>
      <c r="I286" s="2">
        <f>IF(C286="","",IFERROR(INDEX('판매구성'!$C$2:$C$501,MATCH(C286,'판매구성'!$A$2:$A$501,0)),""))</f>
        <v/>
      </c>
      <c r="J286" s="4">
        <f>IF(OR(C286="",E286=""),"",IFERROR(IF(INDEX('가격표'!$D$2:$K$501,MATCH(C286,'가격표'!$A$2:$A$501,0),MATCH(E286,'가격표'!$D$1:$K$1,0))="","",INDEX('가격표'!$D$2:$K$501,MATCH(C286,'가격표'!$A$2:$A$501,0),MATCH(E286,'가격표'!$D$1:$K$1,0))),""))</f>
        <v/>
      </c>
      <c r="K286" s="4">
        <f>IF(C286="","",IFERROR(INDEX('판매구성'!$D$2:$D$501,MATCH(C286,'판매구성'!$A$2:$A$501,0)),""))</f>
        <v/>
      </c>
      <c r="L286" s="4">
        <f>IF(OR(J286="",K286=""),"",ROUND(J286-(J286-K286)*'설정'!$B$2,0))</f>
        <v/>
      </c>
      <c r="M286" s="4">
        <f>IF(OR(A286="",J286=""),"",ROUND(J286*N(IFERROR(INDEX('판매채널'!$F$2:$F$501,MATCH(A286,'판매채널'!$A$2:$A$501,0)),"")),0))</f>
        <v/>
      </c>
      <c r="N286" s="4">
        <f>IF(OR(J286="",K286=""),"",J286-M286-K286)</f>
        <v/>
      </c>
      <c r="O286" s="5">
        <f>IF(OR(J286="",J286=0),"",N286/J286)</f>
        <v/>
      </c>
    </row>
    <row r="287">
      <c r="B287" s="2">
        <f>IF(A287="","",IFERROR(INDEX('판매채널'!$B$2:$B$501,MATCH(A287,'판매채널'!$A$2:$A$501,0)),""))</f>
        <v/>
      </c>
      <c r="D287" s="2">
        <f>IF(C287="","",IFERROR(INDEX('판매구성'!$B$2:$B$501,MATCH(C287,'판매구성'!$A$2:$A$501,0)),""))</f>
        <v/>
      </c>
      <c r="G287" s="3" t="n"/>
      <c r="I287" s="2">
        <f>IF(C287="","",IFERROR(INDEX('판매구성'!$C$2:$C$501,MATCH(C287,'판매구성'!$A$2:$A$501,0)),""))</f>
        <v/>
      </c>
      <c r="J287" s="4">
        <f>IF(OR(C287="",E287=""),"",IFERROR(IF(INDEX('가격표'!$D$2:$K$501,MATCH(C287,'가격표'!$A$2:$A$501,0),MATCH(E287,'가격표'!$D$1:$K$1,0))="","",INDEX('가격표'!$D$2:$K$501,MATCH(C287,'가격표'!$A$2:$A$501,0),MATCH(E287,'가격표'!$D$1:$K$1,0))),""))</f>
        <v/>
      </c>
      <c r="K287" s="4">
        <f>IF(C287="","",IFERROR(INDEX('판매구성'!$D$2:$D$501,MATCH(C287,'판매구성'!$A$2:$A$501,0)),""))</f>
        <v/>
      </c>
      <c r="L287" s="4">
        <f>IF(OR(J287="",K287=""),"",ROUND(J287-(J287-K287)*'설정'!$B$2,0))</f>
        <v/>
      </c>
      <c r="M287" s="4">
        <f>IF(OR(A287="",J287=""),"",ROUND(J287*N(IFERROR(INDEX('판매채널'!$F$2:$F$501,MATCH(A287,'판매채널'!$A$2:$A$501,0)),"")),0))</f>
        <v/>
      </c>
      <c r="N287" s="4">
        <f>IF(OR(J287="",K287=""),"",J287-M287-K287)</f>
        <v/>
      </c>
      <c r="O287" s="5">
        <f>IF(OR(J287="",J287=0),"",N287/J287)</f>
        <v/>
      </c>
    </row>
    <row r="288">
      <c r="B288" s="2">
        <f>IF(A288="","",IFERROR(INDEX('판매채널'!$B$2:$B$501,MATCH(A288,'판매채널'!$A$2:$A$501,0)),""))</f>
        <v/>
      </c>
      <c r="D288" s="2">
        <f>IF(C288="","",IFERROR(INDEX('판매구성'!$B$2:$B$501,MATCH(C288,'판매구성'!$A$2:$A$501,0)),""))</f>
        <v/>
      </c>
      <c r="G288" s="3" t="n"/>
      <c r="I288" s="2">
        <f>IF(C288="","",IFERROR(INDEX('판매구성'!$C$2:$C$501,MATCH(C288,'판매구성'!$A$2:$A$501,0)),""))</f>
        <v/>
      </c>
      <c r="J288" s="4">
        <f>IF(OR(C288="",E288=""),"",IFERROR(IF(INDEX('가격표'!$D$2:$K$501,MATCH(C288,'가격표'!$A$2:$A$501,0),MATCH(E288,'가격표'!$D$1:$K$1,0))="","",INDEX('가격표'!$D$2:$K$501,MATCH(C288,'가격표'!$A$2:$A$501,0),MATCH(E288,'가격표'!$D$1:$K$1,0))),""))</f>
        <v/>
      </c>
      <c r="K288" s="4">
        <f>IF(C288="","",IFERROR(INDEX('판매구성'!$D$2:$D$501,MATCH(C288,'판매구성'!$A$2:$A$501,0)),""))</f>
        <v/>
      </c>
      <c r="L288" s="4">
        <f>IF(OR(J288="",K288=""),"",ROUND(J288-(J288-K288)*'설정'!$B$2,0))</f>
        <v/>
      </c>
      <c r="M288" s="4">
        <f>IF(OR(A288="",J288=""),"",ROUND(J288*N(IFERROR(INDEX('판매채널'!$F$2:$F$501,MATCH(A288,'판매채널'!$A$2:$A$501,0)),"")),0))</f>
        <v/>
      </c>
      <c r="N288" s="4">
        <f>IF(OR(J288="",K288=""),"",J288-M288-K288)</f>
        <v/>
      </c>
      <c r="O288" s="5">
        <f>IF(OR(J288="",J288=0),"",N288/J288)</f>
        <v/>
      </c>
    </row>
    <row r="289">
      <c r="B289" s="2">
        <f>IF(A289="","",IFERROR(INDEX('판매채널'!$B$2:$B$501,MATCH(A289,'판매채널'!$A$2:$A$501,0)),""))</f>
        <v/>
      </c>
      <c r="D289" s="2">
        <f>IF(C289="","",IFERROR(INDEX('판매구성'!$B$2:$B$501,MATCH(C289,'판매구성'!$A$2:$A$501,0)),""))</f>
        <v/>
      </c>
      <c r="G289" s="3" t="n"/>
      <c r="I289" s="2">
        <f>IF(C289="","",IFERROR(INDEX('판매구성'!$C$2:$C$501,MATCH(C289,'판매구성'!$A$2:$A$501,0)),""))</f>
        <v/>
      </c>
      <c r="J289" s="4">
        <f>IF(OR(C289="",E289=""),"",IFERROR(IF(INDEX('가격표'!$D$2:$K$501,MATCH(C289,'가격표'!$A$2:$A$501,0),MATCH(E289,'가격표'!$D$1:$K$1,0))="","",INDEX('가격표'!$D$2:$K$501,MATCH(C289,'가격표'!$A$2:$A$501,0),MATCH(E289,'가격표'!$D$1:$K$1,0))),""))</f>
        <v/>
      </c>
      <c r="K289" s="4">
        <f>IF(C289="","",IFERROR(INDEX('판매구성'!$D$2:$D$501,MATCH(C289,'판매구성'!$A$2:$A$501,0)),""))</f>
        <v/>
      </c>
      <c r="L289" s="4">
        <f>IF(OR(J289="",K289=""),"",ROUND(J289-(J289-K289)*'설정'!$B$2,0))</f>
        <v/>
      </c>
      <c r="M289" s="4">
        <f>IF(OR(A289="",J289=""),"",ROUND(J289*N(IFERROR(INDEX('판매채널'!$F$2:$F$501,MATCH(A289,'판매채널'!$A$2:$A$501,0)),"")),0))</f>
        <v/>
      </c>
      <c r="N289" s="4">
        <f>IF(OR(J289="",K289=""),"",J289-M289-K289)</f>
        <v/>
      </c>
      <c r="O289" s="5">
        <f>IF(OR(J289="",J289=0),"",N289/J289)</f>
        <v/>
      </c>
    </row>
    <row r="290">
      <c r="B290" s="2">
        <f>IF(A290="","",IFERROR(INDEX('판매채널'!$B$2:$B$501,MATCH(A290,'판매채널'!$A$2:$A$501,0)),""))</f>
        <v/>
      </c>
      <c r="D290" s="2">
        <f>IF(C290="","",IFERROR(INDEX('판매구성'!$B$2:$B$501,MATCH(C290,'판매구성'!$A$2:$A$501,0)),""))</f>
        <v/>
      </c>
      <c r="G290" s="3" t="n"/>
      <c r="I290" s="2">
        <f>IF(C290="","",IFERROR(INDEX('판매구성'!$C$2:$C$501,MATCH(C290,'판매구성'!$A$2:$A$501,0)),""))</f>
        <v/>
      </c>
      <c r="J290" s="4">
        <f>IF(OR(C290="",E290=""),"",IFERROR(IF(INDEX('가격표'!$D$2:$K$501,MATCH(C290,'가격표'!$A$2:$A$501,0),MATCH(E290,'가격표'!$D$1:$K$1,0))="","",INDEX('가격표'!$D$2:$K$501,MATCH(C290,'가격표'!$A$2:$A$501,0),MATCH(E290,'가격표'!$D$1:$K$1,0))),""))</f>
        <v/>
      </c>
      <c r="K290" s="4">
        <f>IF(C290="","",IFERROR(INDEX('판매구성'!$D$2:$D$501,MATCH(C290,'판매구성'!$A$2:$A$501,0)),""))</f>
        <v/>
      </c>
      <c r="L290" s="4">
        <f>IF(OR(J290="",K290=""),"",ROUND(J290-(J290-K290)*'설정'!$B$2,0))</f>
        <v/>
      </c>
      <c r="M290" s="4">
        <f>IF(OR(A290="",J290=""),"",ROUND(J290*N(IFERROR(INDEX('판매채널'!$F$2:$F$501,MATCH(A290,'판매채널'!$A$2:$A$501,0)),"")),0))</f>
        <v/>
      </c>
      <c r="N290" s="4">
        <f>IF(OR(J290="",K290=""),"",J290-M290-K290)</f>
        <v/>
      </c>
      <c r="O290" s="5">
        <f>IF(OR(J290="",J290=0),"",N290/J290)</f>
        <v/>
      </c>
    </row>
    <row r="291">
      <c r="B291" s="2">
        <f>IF(A291="","",IFERROR(INDEX('판매채널'!$B$2:$B$501,MATCH(A291,'판매채널'!$A$2:$A$501,0)),""))</f>
        <v/>
      </c>
      <c r="D291" s="2">
        <f>IF(C291="","",IFERROR(INDEX('판매구성'!$B$2:$B$501,MATCH(C291,'판매구성'!$A$2:$A$501,0)),""))</f>
        <v/>
      </c>
      <c r="G291" s="3" t="n"/>
      <c r="I291" s="2">
        <f>IF(C291="","",IFERROR(INDEX('판매구성'!$C$2:$C$501,MATCH(C291,'판매구성'!$A$2:$A$501,0)),""))</f>
        <v/>
      </c>
      <c r="J291" s="4">
        <f>IF(OR(C291="",E291=""),"",IFERROR(IF(INDEX('가격표'!$D$2:$K$501,MATCH(C291,'가격표'!$A$2:$A$501,0),MATCH(E291,'가격표'!$D$1:$K$1,0))="","",INDEX('가격표'!$D$2:$K$501,MATCH(C291,'가격표'!$A$2:$A$501,0),MATCH(E291,'가격표'!$D$1:$K$1,0))),""))</f>
        <v/>
      </c>
      <c r="K291" s="4">
        <f>IF(C291="","",IFERROR(INDEX('판매구성'!$D$2:$D$501,MATCH(C291,'판매구성'!$A$2:$A$501,0)),""))</f>
        <v/>
      </c>
      <c r="L291" s="4">
        <f>IF(OR(J291="",K291=""),"",ROUND(J291-(J291-K291)*'설정'!$B$2,0))</f>
        <v/>
      </c>
      <c r="M291" s="4">
        <f>IF(OR(A291="",J291=""),"",ROUND(J291*N(IFERROR(INDEX('판매채널'!$F$2:$F$501,MATCH(A291,'판매채널'!$A$2:$A$501,0)),"")),0))</f>
        <v/>
      </c>
      <c r="N291" s="4">
        <f>IF(OR(J291="",K291=""),"",J291-M291-K291)</f>
        <v/>
      </c>
      <c r="O291" s="5">
        <f>IF(OR(J291="",J291=0),"",N291/J291)</f>
        <v/>
      </c>
    </row>
    <row r="292">
      <c r="B292" s="2">
        <f>IF(A292="","",IFERROR(INDEX('판매채널'!$B$2:$B$501,MATCH(A292,'판매채널'!$A$2:$A$501,0)),""))</f>
        <v/>
      </c>
      <c r="D292" s="2">
        <f>IF(C292="","",IFERROR(INDEX('판매구성'!$B$2:$B$501,MATCH(C292,'판매구성'!$A$2:$A$501,0)),""))</f>
        <v/>
      </c>
      <c r="G292" s="3" t="n"/>
      <c r="I292" s="2">
        <f>IF(C292="","",IFERROR(INDEX('판매구성'!$C$2:$C$501,MATCH(C292,'판매구성'!$A$2:$A$501,0)),""))</f>
        <v/>
      </c>
      <c r="J292" s="4">
        <f>IF(OR(C292="",E292=""),"",IFERROR(IF(INDEX('가격표'!$D$2:$K$501,MATCH(C292,'가격표'!$A$2:$A$501,0),MATCH(E292,'가격표'!$D$1:$K$1,0))="","",INDEX('가격표'!$D$2:$K$501,MATCH(C292,'가격표'!$A$2:$A$501,0),MATCH(E292,'가격표'!$D$1:$K$1,0))),""))</f>
        <v/>
      </c>
      <c r="K292" s="4">
        <f>IF(C292="","",IFERROR(INDEX('판매구성'!$D$2:$D$501,MATCH(C292,'판매구성'!$A$2:$A$501,0)),""))</f>
        <v/>
      </c>
      <c r="L292" s="4">
        <f>IF(OR(J292="",K292=""),"",ROUND(J292-(J292-K292)*'설정'!$B$2,0))</f>
        <v/>
      </c>
      <c r="M292" s="4">
        <f>IF(OR(A292="",J292=""),"",ROUND(J292*N(IFERROR(INDEX('판매채널'!$F$2:$F$501,MATCH(A292,'판매채널'!$A$2:$A$501,0)),"")),0))</f>
        <v/>
      </c>
      <c r="N292" s="4">
        <f>IF(OR(J292="",K292=""),"",J292-M292-K292)</f>
        <v/>
      </c>
      <c r="O292" s="5">
        <f>IF(OR(J292="",J292=0),"",N292/J292)</f>
        <v/>
      </c>
    </row>
    <row r="293">
      <c r="B293" s="2">
        <f>IF(A293="","",IFERROR(INDEX('판매채널'!$B$2:$B$501,MATCH(A293,'판매채널'!$A$2:$A$501,0)),""))</f>
        <v/>
      </c>
      <c r="D293" s="2">
        <f>IF(C293="","",IFERROR(INDEX('판매구성'!$B$2:$B$501,MATCH(C293,'판매구성'!$A$2:$A$501,0)),""))</f>
        <v/>
      </c>
      <c r="G293" s="3" t="n"/>
      <c r="I293" s="2">
        <f>IF(C293="","",IFERROR(INDEX('판매구성'!$C$2:$C$501,MATCH(C293,'판매구성'!$A$2:$A$501,0)),""))</f>
        <v/>
      </c>
      <c r="J293" s="4">
        <f>IF(OR(C293="",E293=""),"",IFERROR(IF(INDEX('가격표'!$D$2:$K$501,MATCH(C293,'가격표'!$A$2:$A$501,0),MATCH(E293,'가격표'!$D$1:$K$1,0))="","",INDEX('가격표'!$D$2:$K$501,MATCH(C293,'가격표'!$A$2:$A$501,0),MATCH(E293,'가격표'!$D$1:$K$1,0))),""))</f>
        <v/>
      </c>
      <c r="K293" s="4">
        <f>IF(C293="","",IFERROR(INDEX('판매구성'!$D$2:$D$501,MATCH(C293,'판매구성'!$A$2:$A$501,0)),""))</f>
        <v/>
      </c>
      <c r="L293" s="4">
        <f>IF(OR(J293="",K293=""),"",ROUND(J293-(J293-K293)*'설정'!$B$2,0))</f>
        <v/>
      </c>
      <c r="M293" s="4">
        <f>IF(OR(A293="",J293=""),"",ROUND(J293*N(IFERROR(INDEX('판매채널'!$F$2:$F$501,MATCH(A293,'판매채널'!$A$2:$A$501,0)),"")),0))</f>
        <v/>
      </c>
      <c r="N293" s="4">
        <f>IF(OR(J293="",K293=""),"",J293-M293-K293)</f>
        <v/>
      </c>
      <c r="O293" s="5">
        <f>IF(OR(J293="",J293=0),"",N293/J293)</f>
        <v/>
      </c>
    </row>
    <row r="294">
      <c r="B294" s="2">
        <f>IF(A294="","",IFERROR(INDEX('판매채널'!$B$2:$B$501,MATCH(A294,'판매채널'!$A$2:$A$501,0)),""))</f>
        <v/>
      </c>
      <c r="D294" s="2">
        <f>IF(C294="","",IFERROR(INDEX('판매구성'!$B$2:$B$501,MATCH(C294,'판매구성'!$A$2:$A$501,0)),""))</f>
        <v/>
      </c>
      <c r="G294" s="3" t="n"/>
      <c r="I294" s="2">
        <f>IF(C294="","",IFERROR(INDEX('판매구성'!$C$2:$C$501,MATCH(C294,'판매구성'!$A$2:$A$501,0)),""))</f>
        <v/>
      </c>
      <c r="J294" s="4">
        <f>IF(OR(C294="",E294=""),"",IFERROR(IF(INDEX('가격표'!$D$2:$K$501,MATCH(C294,'가격표'!$A$2:$A$501,0),MATCH(E294,'가격표'!$D$1:$K$1,0))="","",INDEX('가격표'!$D$2:$K$501,MATCH(C294,'가격표'!$A$2:$A$501,0),MATCH(E294,'가격표'!$D$1:$K$1,0))),""))</f>
        <v/>
      </c>
      <c r="K294" s="4">
        <f>IF(C294="","",IFERROR(INDEX('판매구성'!$D$2:$D$501,MATCH(C294,'판매구성'!$A$2:$A$501,0)),""))</f>
        <v/>
      </c>
      <c r="L294" s="4">
        <f>IF(OR(J294="",K294=""),"",ROUND(J294-(J294-K294)*'설정'!$B$2,0))</f>
        <v/>
      </c>
      <c r="M294" s="4">
        <f>IF(OR(A294="",J294=""),"",ROUND(J294*N(IFERROR(INDEX('판매채널'!$F$2:$F$501,MATCH(A294,'판매채널'!$A$2:$A$501,0)),"")),0))</f>
        <v/>
      </c>
      <c r="N294" s="4">
        <f>IF(OR(J294="",K294=""),"",J294-M294-K294)</f>
        <v/>
      </c>
      <c r="O294" s="5">
        <f>IF(OR(J294="",J294=0),"",N294/J294)</f>
        <v/>
      </c>
    </row>
    <row r="295">
      <c r="B295" s="2">
        <f>IF(A295="","",IFERROR(INDEX('판매채널'!$B$2:$B$501,MATCH(A295,'판매채널'!$A$2:$A$501,0)),""))</f>
        <v/>
      </c>
      <c r="D295" s="2">
        <f>IF(C295="","",IFERROR(INDEX('판매구성'!$B$2:$B$501,MATCH(C295,'판매구성'!$A$2:$A$501,0)),""))</f>
        <v/>
      </c>
      <c r="G295" s="3" t="n"/>
      <c r="I295" s="2">
        <f>IF(C295="","",IFERROR(INDEX('판매구성'!$C$2:$C$501,MATCH(C295,'판매구성'!$A$2:$A$501,0)),""))</f>
        <v/>
      </c>
      <c r="J295" s="4">
        <f>IF(OR(C295="",E295=""),"",IFERROR(IF(INDEX('가격표'!$D$2:$K$501,MATCH(C295,'가격표'!$A$2:$A$501,0),MATCH(E295,'가격표'!$D$1:$K$1,0))="","",INDEX('가격표'!$D$2:$K$501,MATCH(C295,'가격표'!$A$2:$A$501,0),MATCH(E295,'가격표'!$D$1:$K$1,0))),""))</f>
        <v/>
      </c>
      <c r="K295" s="4">
        <f>IF(C295="","",IFERROR(INDEX('판매구성'!$D$2:$D$501,MATCH(C295,'판매구성'!$A$2:$A$501,0)),""))</f>
        <v/>
      </c>
      <c r="L295" s="4">
        <f>IF(OR(J295="",K295=""),"",ROUND(J295-(J295-K295)*'설정'!$B$2,0))</f>
        <v/>
      </c>
      <c r="M295" s="4">
        <f>IF(OR(A295="",J295=""),"",ROUND(J295*N(IFERROR(INDEX('판매채널'!$F$2:$F$501,MATCH(A295,'판매채널'!$A$2:$A$501,0)),"")),0))</f>
        <v/>
      </c>
      <c r="N295" s="4">
        <f>IF(OR(J295="",K295=""),"",J295-M295-K295)</f>
        <v/>
      </c>
      <c r="O295" s="5">
        <f>IF(OR(J295="",J295=0),"",N295/J295)</f>
        <v/>
      </c>
    </row>
    <row r="296">
      <c r="B296" s="2">
        <f>IF(A296="","",IFERROR(INDEX('판매채널'!$B$2:$B$501,MATCH(A296,'판매채널'!$A$2:$A$501,0)),""))</f>
        <v/>
      </c>
      <c r="D296" s="2">
        <f>IF(C296="","",IFERROR(INDEX('판매구성'!$B$2:$B$501,MATCH(C296,'판매구성'!$A$2:$A$501,0)),""))</f>
        <v/>
      </c>
      <c r="G296" s="3" t="n"/>
      <c r="I296" s="2">
        <f>IF(C296="","",IFERROR(INDEX('판매구성'!$C$2:$C$501,MATCH(C296,'판매구성'!$A$2:$A$501,0)),""))</f>
        <v/>
      </c>
      <c r="J296" s="4">
        <f>IF(OR(C296="",E296=""),"",IFERROR(IF(INDEX('가격표'!$D$2:$K$501,MATCH(C296,'가격표'!$A$2:$A$501,0),MATCH(E296,'가격표'!$D$1:$K$1,0))="","",INDEX('가격표'!$D$2:$K$501,MATCH(C296,'가격표'!$A$2:$A$501,0),MATCH(E296,'가격표'!$D$1:$K$1,0))),""))</f>
        <v/>
      </c>
      <c r="K296" s="4">
        <f>IF(C296="","",IFERROR(INDEX('판매구성'!$D$2:$D$501,MATCH(C296,'판매구성'!$A$2:$A$501,0)),""))</f>
        <v/>
      </c>
      <c r="L296" s="4">
        <f>IF(OR(J296="",K296=""),"",ROUND(J296-(J296-K296)*'설정'!$B$2,0))</f>
        <v/>
      </c>
      <c r="M296" s="4">
        <f>IF(OR(A296="",J296=""),"",ROUND(J296*N(IFERROR(INDEX('판매채널'!$F$2:$F$501,MATCH(A296,'판매채널'!$A$2:$A$501,0)),"")),0))</f>
        <v/>
      </c>
      <c r="N296" s="4">
        <f>IF(OR(J296="",K296=""),"",J296-M296-K296)</f>
        <v/>
      </c>
      <c r="O296" s="5">
        <f>IF(OR(J296="",J296=0),"",N296/J296)</f>
        <v/>
      </c>
    </row>
    <row r="297">
      <c r="B297" s="2">
        <f>IF(A297="","",IFERROR(INDEX('판매채널'!$B$2:$B$501,MATCH(A297,'판매채널'!$A$2:$A$501,0)),""))</f>
        <v/>
      </c>
      <c r="D297" s="2">
        <f>IF(C297="","",IFERROR(INDEX('판매구성'!$B$2:$B$501,MATCH(C297,'판매구성'!$A$2:$A$501,0)),""))</f>
        <v/>
      </c>
      <c r="G297" s="3" t="n"/>
      <c r="I297" s="2">
        <f>IF(C297="","",IFERROR(INDEX('판매구성'!$C$2:$C$501,MATCH(C297,'판매구성'!$A$2:$A$501,0)),""))</f>
        <v/>
      </c>
      <c r="J297" s="4">
        <f>IF(OR(C297="",E297=""),"",IFERROR(IF(INDEX('가격표'!$D$2:$K$501,MATCH(C297,'가격표'!$A$2:$A$501,0),MATCH(E297,'가격표'!$D$1:$K$1,0))="","",INDEX('가격표'!$D$2:$K$501,MATCH(C297,'가격표'!$A$2:$A$501,0),MATCH(E297,'가격표'!$D$1:$K$1,0))),""))</f>
        <v/>
      </c>
      <c r="K297" s="4">
        <f>IF(C297="","",IFERROR(INDEX('판매구성'!$D$2:$D$501,MATCH(C297,'판매구성'!$A$2:$A$501,0)),""))</f>
        <v/>
      </c>
      <c r="L297" s="4">
        <f>IF(OR(J297="",K297=""),"",ROUND(J297-(J297-K297)*'설정'!$B$2,0))</f>
        <v/>
      </c>
      <c r="M297" s="4">
        <f>IF(OR(A297="",J297=""),"",ROUND(J297*N(IFERROR(INDEX('판매채널'!$F$2:$F$501,MATCH(A297,'판매채널'!$A$2:$A$501,0)),"")),0))</f>
        <v/>
      </c>
      <c r="N297" s="4">
        <f>IF(OR(J297="",K297=""),"",J297-M297-K297)</f>
        <v/>
      </c>
      <c r="O297" s="5">
        <f>IF(OR(J297="",J297=0),"",N297/J297)</f>
        <v/>
      </c>
    </row>
    <row r="298">
      <c r="B298" s="2">
        <f>IF(A298="","",IFERROR(INDEX('판매채널'!$B$2:$B$501,MATCH(A298,'판매채널'!$A$2:$A$501,0)),""))</f>
        <v/>
      </c>
      <c r="D298" s="2">
        <f>IF(C298="","",IFERROR(INDEX('판매구성'!$B$2:$B$501,MATCH(C298,'판매구성'!$A$2:$A$501,0)),""))</f>
        <v/>
      </c>
      <c r="G298" s="3" t="n"/>
      <c r="I298" s="2">
        <f>IF(C298="","",IFERROR(INDEX('판매구성'!$C$2:$C$501,MATCH(C298,'판매구성'!$A$2:$A$501,0)),""))</f>
        <v/>
      </c>
      <c r="J298" s="4">
        <f>IF(OR(C298="",E298=""),"",IFERROR(IF(INDEX('가격표'!$D$2:$K$501,MATCH(C298,'가격표'!$A$2:$A$501,0),MATCH(E298,'가격표'!$D$1:$K$1,0))="","",INDEX('가격표'!$D$2:$K$501,MATCH(C298,'가격표'!$A$2:$A$501,0),MATCH(E298,'가격표'!$D$1:$K$1,0))),""))</f>
        <v/>
      </c>
      <c r="K298" s="4">
        <f>IF(C298="","",IFERROR(INDEX('판매구성'!$D$2:$D$501,MATCH(C298,'판매구성'!$A$2:$A$501,0)),""))</f>
        <v/>
      </c>
      <c r="L298" s="4">
        <f>IF(OR(J298="",K298=""),"",ROUND(J298-(J298-K298)*'설정'!$B$2,0))</f>
        <v/>
      </c>
      <c r="M298" s="4">
        <f>IF(OR(A298="",J298=""),"",ROUND(J298*N(IFERROR(INDEX('판매채널'!$F$2:$F$501,MATCH(A298,'판매채널'!$A$2:$A$501,0)),"")),0))</f>
        <v/>
      </c>
      <c r="N298" s="4">
        <f>IF(OR(J298="",K298=""),"",J298-M298-K298)</f>
        <v/>
      </c>
      <c r="O298" s="5">
        <f>IF(OR(J298="",J298=0),"",N298/J298)</f>
        <v/>
      </c>
    </row>
    <row r="299">
      <c r="B299" s="2">
        <f>IF(A299="","",IFERROR(INDEX('판매채널'!$B$2:$B$501,MATCH(A299,'판매채널'!$A$2:$A$501,0)),""))</f>
        <v/>
      </c>
      <c r="D299" s="2">
        <f>IF(C299="","",IFERROR(INDEX('판매구성'!$B$2:$B$501,MATCH(C299,'판매구성'!$A$2:$A$501,0)),""))</f>
        <v/>
      </c>
      <c r="G299" s="3" t="n"/>
      <c r="I299" s="2">
        <f>IF(C299="","",IFERROR(INDEX('판매구성'!$C$2:$C$501,MATCH(C299,'판매구성'!$A$2:$A$501,0)),""))</f>
        <v/>
      </c>
      <c r="J299" s="4">
        <f>IF(OR(C299="",E299=""),"",IFERROR(IF(INDEX('가격표'!$D$2:$K$501,MATCH(C299,'가격표'!$A$2:$A$501,0),MATCH(E299,'가격표'!$D$1:$K$1,0))="","",INDEX('가격표'!$D$2:$K$501,MATCH(C299,'가격표'!$A$2:$A$501,0),MATCH(E299,'가격표'!$D$1:$K$1,0))),""))</f>
        <v/>
      </c>
      <c r="K299" s="4">
        <f>IF(C299="","",IFERROR(INDEX('판매구성'!$D$2:$D$501,MATCH(C299,'판매구성'!$A$2:$A$501,0)),""))</f>
        <v/>
      </c>
      <c r="L299" s="4">
        <f>IF(OR(J299="",K299=""),"",ROUND(J299-(J299-K299)*'설정'!$B$2,0))</f>
        <v/>
      </c>
      <c r="M299" s="4">
        <f>IF(OR(A299="",J299=""),"",ROUND(J299*N(IFERROR(INDEX('판매채널'!$F$2:$F$501,MATCH(A299,'판매채널'!$A$2:$A$501,0)),"")),0))</f>
        <v/>
      </c>
      <c r="N299" s="4">
        <f>IF(OR(J299="",K299=""),"",J299-M299-K299)</f>
        <v/>
      </c>
      <c r="O299" s="5">
        <f>IF(OR(J299="",J299=0),"",N299/J299)</f>
        <v/>
      </c>
    </row>
    <row r="300">
      <c r="B300" s="2">
        <f>IF(A300="","",IFERROR(INDEX('판매채널'!$B$2:$B$501,MATCH(A300,'판매채널'!$A$2:$A$501,0)),""))</f>
        <v/>
      </c>
      <c r="D300" s="2">
        <f>IF(C300="","",IFERROR(INDEX('판매구성'!$B$2:$B$501,MATCH(C300,'판매구성'!$A$2:$A$501,0)),""))</f>
        <v/>
      </c>
      <c r="G300" s="3" t="n"/>
      <c r="I300" s="2">
        <f>IF(C300="","",IFERROR(INDEX('판매구성'!$C$2:$C$501,MATCH(C300,'판매구성'!$A$2:$A$501,0)),""))</f>
        <v/>
      </c>
      <c r="J300" s="4">
        <f>IF(OR(C300="",E300=""),"",IFERROR(IF(INDEX('가격표'!$D$2:$K$501,MATCH(C300,'가격표'!$A$2:$A$501,0),MATCH(E300,'가격표'!$D$1:$K$1,0))="","",INDEX('가격표'!$D$2:$K$501,MATCH(C300,'가격표'!$A$2:$A$501,0),MATCH(E300,'가격표'!$D$1:$K$1,0))),""))</f>
        <v/>
      </c>
      <c r="K300" s="4">
        <f>IF(C300="","",IFERROR(INDEX('판매구성'!$D$2:$D$501,MATCH(C300,'판매구성'!$A$2:$A$501,0)),""))</f>
        <v/>
      </c>
      <c r="L300" s="4">
        <f>IF(OR(J300="",K300=""),"",ROUND(J300-(J300-K300)*'설정'!$B$2,0))</f>
        <v/>
      </c>
      <c r="M300" s="4">
        <f>IF(OR(A300="",J300=""),"",ROUND(J300*N(IFERROR(INDEX('판매채널'!$F$2:$F$501,MATCH(A300,'판매채널'!$A$2:$A$501,0)),"")),0))</f>
        <v/>
      </c>
      <c r="N300" s="4">
        <f>IF(OR(J300="",K300=""),"",J300-M300-K300)</f>
        <v/>
      </c>
      <c r="O300" s="5">
        <f>IF(OR(J300="",J300=0),"",N300/J300)</f>
        <v/>
      </c>
    </row>
    <row r="301">
      <c r="B301" s="2">
        <f>IF(A301="","",IFERROR(INDEX('판매채널'!$B$2:$B$501,MATCH(A301,'판매채널'!$A$2:$A$501,0)),""))</f>
        <v/>
      </c>
      <c r="D301" s="2">
        <f>IF(C301="","",IFERROR(INDEX('판매구성'!$B$2:$B$501,MATCH(C301,'판매구성'!$A$2:$A$501,0)),""))</f>
        <v/>
      </c>
      <c r="G301" s="3" t="n"/>
      <c r="I301" s="2">
        <f>IF(C301="","",IFERROR(INDEX('판매구성'!$C$2:$C$501,MATCH(C301,'판매구성'!$A$2:$A$501,0)),""))</f>
        <v/>
      </c>
      <c r="J301" s="4">
        <f>IF(OR(C301="",E301=""),"",IFERROR(IF(INDEX('가격표'!$D$2:$K$501,MATCH(C301,'가격표'!$A$2:$A$501,0),MATCH(E301,'가격표'!$D$1:$K$1,0))="","",INDEX('가격표'!$D$2:$K$501,MATCH(C301,'가격표'!$A$2:$A$501,0),MATCH(E301,'가격표'!$D$1:$K$1,0))),""))</f>
        <v/>
      </c>
      <c r="K301" s="4">
        <f>IF(C301="","",IFERROR(INDEX('판매구성'!$D$2:$D$501,MATCH(C301,'판매구성'!$A$2:$A$501,0)),""))</f>
        <v/>
      </c>
      <c r="L301" s="4">
        <f>IF(OR(J301="",K301=""),"",ROUND(J301-(J301-K301)*'설정'!$B$2,0))</f>
        <v/>
      </c>
      <c r="M301" s="4">
        <f>IF(OR(A301="",J301=""),"",ROUND(J301*N(IFERROR(INDEX('판매채널'!$F$2:$F$501,MATCH(A301,'판매채널'!$A$2:$A$501,0)),"")),0))</f>
        <v/>
      </c>
      <c r="N301" s="4">
        <f>IF(OR(J301="",K301=""),"",J301-M301-K301)</f>
        <v/>
      </c>
      <c r="O301" s="5">
        <f>IF(OR(J301="",J301=0),"",N301/J301)</f>
        <v/>
      </c>
    </row>
    <row r="302">
      <c r="B302" s="2">
        <f>IF(A302="","",IFERROR(INDEX('판매채널'!$B$2:$B$501,MATCH(A302,'판매채널'!$A$2:$A$501,0)),""))</f>
        <v/>
      </c>
      <c r="D302" s="2">
        <f>IF(C302="","",IFERROR(INDEX('판매구성'!$B$2:$B$501,MATCH(C302,'판매구성'!$A$2:$A$501,0)),""))</f>
        <v/>
      </c>
      <c r="G302" s="3" t="n"/>
      <c r="I302" s="2">
        <f>IF(C302="","",IFERROR(INDEX('판매구성'!$C$2:$C$501,MATCH(C302,'판매구성'!$A$2:$A$501,0)),""))</f>
        <v/>
      </c>
      <c r="J302" s="4">
        <f>IF(OR(C302="",E302=""),"",IFERROR(IF(INDEX('가격표'!$D$2:$K$501,MATCH(C302,'가격표'!$A$2:$A$501,0),MATCH(E302,'가격표'!$D$1:$K$1,0))="","",INDEX('가격표'!$D$2:$K$501,MATCH(C302,'가격표'!$A$2:$A$501,0),MATCH(E302,'가격표'!$D$1:$K$1,0))),""))</f>
        <v/>
      </c>
      <c r="K302" s="4">
        <f>IF(C302="","",IFERROR(INDEX('판매구성'!$D$2:$D$501,MATCH(C302,'판매구성'!$A$2:$A$501,0)),""))</f>
        <v/>
      </c>
      <c r="L302" s="4">
        <f>IF(OR(J302="",K302=""),"",ROUND(J302-(J302-K302)*'설정'!$B$2,0))</f>
        <v/>
      </c>
      <c r="M302" s="4">
        <f>IF(OR(A302="",J302=""),"",ROUND(J302*N(IFERROR(INDEX('판매채널'!$F$2:$F$501,MATCH(A302,'판매채널'!$A$2:$A$501,0)),"")),0))</f>
        <v/>
      </c>
      <c r="N302" s="4">
        <f>IF(OR(J302="",K302=""),"",J302-M302-K302)</f>
        <v/>
      </c>
      <c r="O302" s="5">
        <f>IF(OR(J302="",J302=0),"",N302/J302)</f>
        <v/>
      </c>
    </row>
    <row r="303">
      <c r="B303" s="2">
        <f>IF(A303="","",IFERROR(INDEX('판매채널'!$B$2:$B$501,MATCH(A303,'판매채널'!$A$2:$A$501,0)),""))</f>
        <v/>
      </c>
      <c r="D303" s="2">
        <f>IF(C303="","",IFERROR(INDEX('판매구성'!$B$2:$B$501,MATCH(C303,'판매구성'!$A$2:$A$501,0)),""))</f>
        <v/>
      </c>
      <c r="G303" s="3" t="n"/>
      <c r="I303" s="2">
        <f>IF(C303="","",IFERROR(INDEX('판매구성'!$C$2:$C$501,MATCH(C303,'판매구성'!$A$2:$A$501,0)),""))</f>
        <v/>
      </c>
      <c r="J303" s="4">
        <f>IF(OR(C303="",E303=""),"",IFERROR(IF(INDEX('가격표'!$D$2:$K$501,MATCH(C303,'가격표'!$A$2:$A$501,0),MATCH(E303,'가격표'!$D$1:$K$1,0))="","",INDEX('가격표'!$D$2:$K$501,MATCH(C303,'가격표'!$A$2:$A$501,0),MATCH(E303,'가격표'!$D$1:$K$1,0))),""))</f>
        <v/>
      </c>
      <c r="K303" s="4">
        <f>IF(C303="","",IFERROR(INDEX('판매구성'!$D$2:$D$501,MATCH(C303,'판매구성'!$A$2:$A$501,0)),""))</f>
        <v/>
      </c>
      <c r="L303" s="4">
        <f>IF(OR(J303="",K303=""),"",ROUND(J303-(J303-K303)*'설정'!$B$2,0))</f>
        <v/>
      </c>
      <c r="M303" s="4">
        <f>IF(OR(A303="",J303=""),"",ROUND(J303*N(IFERROR(INDEX('판매채널'!$F$2:$F$501,MATCH(A303,'판매채널'!$A$2:$A$501,0)),"")),0))</f>
        <v/>
      </c>
      <c r="N303" s="4">
        <f>IF(OR(J303="",K303=""),"",J303-M303-K303)</f>
        <v/>
      </c>
      <c r="O303" s="5">
        <f>IF(OR(J303="",J303=0),"",N303/J303)</f>
        <v/>
      </c>
    </row>
    <row r="304">
      <c r="B304" s="2">
        <f>IF(A304="","",IFERROR(INDEX('판매채널'!$B$2:$B$501,MATCH(A304,'판매채널'!$A$2:$A$501,0)),""))</f>
        <v/>
      </c>
      <c r="D304" s="2">
        <f>IF(C304="","",IFERROR(INDEX('판매구성'!$B$2:$B$501,MATCH(C304,'판매구성'!$A$2:$A$501,0)),""))</f>
        <v/>
      </c>
      <c r="G304" s="3" t="n"/>
      <c r="I304" s="2">
        <f>IF(C304="","",IFERROR(INDEX('판매구성'!$C$2:$C$501,MATCH(C304,'판매구성'!$A$2:$A$501,0)),""))</f>
        <v/>
      </c>
      <c r="J304" s="4">
        <f>IF(OR(C304="",E304=""),"",IFERROR(IF(INDEX('가격표'!$D$2:$K$501,MATCH(C304,'가격표'!$A$2:$A$501,0),MATCH(E304,'가격표'!$D$1:$K$1,0))="","",INDEX('가격표'!$D$2:$K$501,MATCH(C304,'가격표'!$A$2:$A$501,0),MATCH(E304,'가격표'!$D$1:$K$1,0))),""))</f>
        <v/>
      </c>
      <c r="K304" s="4">
        <f>IF(C304="","",IFERROR(INDEX('판매구성'!$D$2:$D$501,MATCH(C304,'판매구성'!$A$2:$A$501,0)),""))</f>
        <v/>
      </c>
      <c r="L304" s="4">
        <f>IF(OR(J304="",K304=""),"",ROUND(J304-(J304-K304)*'설정'!$B$2,0))</f>
        <v/>
      </c>
      <c r="M304" s="4">
        <f>IF(OR(A304="",J304=""),"",ROUND(J304*N(IFERROR(INDEX('판매채널'!$F$2:$F$501,MATCH(A304,'판매채널'!$A$2:$A$501,0)),"")),0))</f>
        <v/>
      </c>
      <c r="N304" s="4">
        <f>IF(OR(J304="",K304=""),"",J304-M304-K304)</f>
        <v/>
      </c>
      <c r="O304" s="5">
        <f>IF(OR(J304="",J304=0),"",N304/J304)</f>
        <v/>
      </c>
    </row>
    <row r="305">
      <c r="B305" s="2">
        <f>IF(A305="","",IFERROR(INDEX('판매채널'!$B$2:$B$501,MATCH(A305,'판매채널'!$A$2:$A$501,0)),""))</f>
        <v/>
      </c>
      <c r="D305" s="2">
        <f>IF(C305="","",IFERROR(INDEX('판매구성'!$B$2:$B$501,MATCH(C305,'판매구성'!$A$2:$A$501,0)),""))</f>
        <v/>
      </c>
      <c r="G305" s="3" t="n"/>
      <c r="I305" s="2">
        <f>IF(C305="","",IFERROR(INDEX('판매구성'!$C$2:$C$501,MATCH(C305,'판매구성'!$A$2:$A$501,0)),""))</f>
        <v/>
      </c>
      <c r="J305" s="4">
        <f>IF(OR(C305="",E305=""),"",IFERROR(IF(INDEX('가격표'!$D$2:$K$501,MATCH(C305,'가격표'!$A$2:$A$501,0),MATCH(E305,'가격표'!$D$1:$K$1,0))="","",INDEX('가격표'!$D$2:$K$501,MATCH(C305,'가격표'!$A$2:$A$501,0),MATCH(E305,'가격표'!$D$1:$K$1,0))),""))</f>
        <v/>
      </c>
      <c r="K305" s="4">
        <f>IF(C305="","",IFERROR(INDEX('판매구성'!$D$2:$D$501,MATCH(C305,'판매구성'!$A$2:$A$501,0)),""))</f>
        <v/>
      </c>
      <c r="L305" s="4">
        <f>IF(OR(J305="",K305=""),"",ROUND(J305-(J305-K305)*'설정'!$B$2,0))</f>
        <v/>
      </c>
      <c r="M305" s="4">
        <f>IF(OR(A305="",J305=""),"",ROUND(J305*N(IFERROR(INDEX('판매채널'!$F$2:$F$501,MATCH(A305,'판매채널'!$A$2:$A$501,0)),"")),0))</f>
        <v/>
      </c>
      <c r="N305" s="4">
        <f>IF(OR(J305="",K305=""),"",J305-M305-K305)</f>
        <v/>
      </c>
      <c r="O305" s="5">
        <f>IF(OR(J305="",J305=0),"",N305/J305)</f>
        <v/>
      </c>
    </row>
    <row r="306">
      <c r="B306" s="2">
        <f>IF(A306="","",IFERROR(INDEX('판매채널'!$B$2:$B$501,MATCH(A306,'판매채널'!$A$2:$A$501,0)),""))</f>
        <v/>
      </c>
      <c r="D306" s="2">
        <f>IF(C306="","",IFERROR(INDEX('판매구성'!$B$2:$B$501,MATCH(C306,'판매구성'!$A$2:$A$501,0)),""))</f>
        <v/>
      </c>
      <c r="G306" s="3" t="n"/>
      <c r="I306" s="2">
        <f>IF(C306="","",IFERROR(INDEX('판매구성'!$C$2:$C$501,MATCH(C306,'판매구성'!$A$2:$A$501,0)),""))</f>
        <v/>
      </c>
      <c r="J306" s="4">
        <f>IF(OR(C306="",E306=""),"",IFERROR(IF(INDEX('가격표'!$D$2:$K$501,MATCH(C306,'가격표'!$A$2:$A$501,0),MATCH(E306,'가격표'!$D$1:$K$1,0))="","",INDEX('가격표'!$D$2:$K$501,MATCH(C306,'가격표'!$A$2:$A$501,0),MATCH(E306,'가격표'!$D$1:$K$1,0))),""))</f>
        <v/>
      </c>
      <c r="K306" s="4">
        <f>IF(C306="","",IFERROR(INDEX('판매구성'!$D$2:$D$501,MATCH(C306,'판매구성'!$A$2:$A$501,0)),""))</f>
        <v/>
      </c>
      <c r="L306" s="4">
        <f>IF(OR(J306="",K306=""),"",ROUND(J306-(J306-K306)*'설정'!$B$2,0))</f>
        <v/>
      </c>
      <c r="M306" s="4">
        <f>IF(OR(A306="",J306=""),"",ROUND(J306*N(IFERROR(INDEX('판매채널'!$F$2:$F$501,MATCH(A306,'판매채널'!$A$2:$A$501,0)),"")),0))</f>
        <v/>
      </c>
      <c r="N306" s="4">
        <f>IF(OR(J306="",K306=""),"",J306-M306-K306)</f>
        <v/>
      </c>
      <c r="O306" s="5">
        <f>IF(OR(J306="",J306=0),"",N306/J306)</f>
        <v/>
      </c>
    </row>
    <row r="307">
      <c r="B307" s="2">
        <f>IF(A307="","",IFERROR(INDEX('판매채널'!$B$2:$B$501,MATCH(A307,'판매채널'!$A$2:$A$501,0)),""))</f>
        <v/>
      </c>
      <c r="D307" s="2">
        <f>IF(C307="","",IFERROR(INDEX('판매구성'!$B$2:$B$501,MATCH(C307,'판매구성'!$A$2:$A$501,0)),""))</f>
        <v/>
      </c>
      <c r="G307" s="3" t="n"/>
      <c r="I307" s="2">
        <f>IF(C307="","",IFERROR(INDEX('판매구성'!$C$2:$C$501,MATCH(C307,'판매구성'!$A$2:$A$501,0)),""))</f>
        <v/>
      </c>
      <c r="J307" s="4">
        <f>IF(OR(C307="",E307=""),"",IFERROR(IF(INDEX('가격표'!$D$2:$K$501,MATCH(C307,'가격표'!$A$2:$A$501,0),MATCH(E307,'가격표'!$D$1:$K$1,0))="","",INDEX('가격표'!$D$2:$K$501,MATCH(C307,'가격표'!$A$2:$A$501,0),MATCH(E307,'가격표'!$D$1:$K$1,0))),""))</f>
        <v/>
      </c>
      <c r="K307" s="4">
        <f>IF(C307="","",IFERROR(INDEX('판매구성'!$D$2:$D$501,MATCH(C307,'판매구성'!$A$2:$A$501,0)),""))</f>
        <v/>
      </c>
      <c r="L307" s="4">
        <f>IF(OR(J307="",K307=""),"",ROUND(J307-(J307-K307)*'설정'!$B$2,0))</f>
        <v/>
      </c>
      <c r="M307" s="4">
        <f>IF(OR(A307="",J307=""),"",ROUND(J307*N(IFERROR(INDEX('판매채널'!$F$2:$F$501,MATCH(A307,'판매채널'!$A$2:$A$501,0)),"")),0))</f>
        <v/>
      </c>
      <c r="N307" s="4">
        <f>IF(OR(J307="",K307=""),"",J307-M307-K307)</f>
        <v/>
      </c>
      <c r="O307" s="5">
        <f>IF(OR(J307="",J307=0),"",N307/J307)</f>
        <v/>
      </c>
    </row>
    <row r="308">
      <c r="B308" s="2">
        <f>IF(A308="","",IFERROR(INDEX('판매채널'!$B$2:$B$501,MATCH(A308,'판매채널'!$A$2:$A$501,0)),""))</f>
        <v/>
      </c>
      <c r="D308" s="2">
        <f>IF(C308="","",IFERROR(INDEX('판매구성'!$B$2:$B$501,MATCH(C308,'판매구성'!$A$2:$A$501,0)),""))</f>
        <v/>
      </c>
      <c r="G308" s="3" t="n"/>
      <c r="I308" s="2">
        <f>IF(C308="","",IFERROR(INDEX('판매구성'!$C$2:$C$501,MATCH(C308,'판매구성'!$A$2:$A$501,0)),""))</f>
        <v/>
      </c>
      <c r="J308" s="4">
        <f>IF(OR(C308="",E308=""),"",IFERROR(IF(INDEX('가격표'!$D$2:$K$501,MATCH(C308,'가격표'!$A$2:$A$501,0),MATCH(E308,'가격표'!$D$1:$K$1,0))="","",INDEX('가격표'!$D$2:$K$501,MATCH(C308,'가격표'!$A$2:$A$501,0),MATCH(E308,'가격표'!$D$1:$K$1,0))),""))</f>
        <v/>
      </c>
      <c r="K308" s="4">
        <f>IF(C308="","",IFERROR(INDEX('판매구성'!$D$2:$D$501,MATCH(C308,'판매구성'!$A$2:$A$501,0)),""))</f>
        <v/>
      </c>
      <c r="L308" s="4">
        <f>IF(OR(J308="",K308=""),"",ROUND(J308-(J308-K308)*'설정'!$B$2,0))</f>
        <v/>
      </c>
      <c r="M308" s="4">
        <f>IF(OR(A308="",J308=""),"",ROUND(J308*N(IFERROR(INDEX('판매채널'!$F$2:$F$501,MATCH(A308,'판매채널'!$A$2:$A$501,0)),"")),0))</f>
        <v/>
      </c>
      <c r="N308" s="4">
        <f>IF(OR(J308="",K308=""),"",J308-M308-K308)</f>
        <v/>
      </c>
      <c r="O308" s="5">
        <f>IF(OR(J308="",J308=0),"",N308/J308)</f>
        <v/>
      </c>
    </row>
    <row r="309">
      <c r="B309" s="2">
        <f>IF(A309="","",IFERROR(INDEX('판매채널'!$B$2:$B$501,MATCH(A309,'판매채널'!$A$2:$A$501,0)),""))</f>
        <v/>
      </c>
      <c r="D309" s="2">
        <f>IF(C309="","",IFERROR(INDEX('판매구성'!$B$2:$B$501,MATCH(C309,'판매구성'!$A$2:$A$501,0)),""))</f>
        <v/>
      </c>
      <c r="G309" s="3" t="n"/>
      <c r="I309" s="2">
        <f>IF(C309="","",IFERROR(INDEX('판매구성'!$C$2:$C$501,MATCH(C309,'판매구성'!$A$2:$A$501,0)),""))</f>
        <v/>
      </c>
      <c r="J309" s="4">
        <f>IF(OR(C309="",E309=""),"",IFERROR(IF(INDEX('가격표'!$D$2:$K$501,MATCH(C309,'가격표'!$A$2:$A$501,0),MATCH(E309,'가격표'!$D$1:$K$1,0))="","",INDEX('가격표'!$D$2:$K$501,MATCH(C309,'가격표'!$A$2:$A$501,0),MATCH(E309,'가격표'!$D$1:$K$1,0))),""))</f>
        <v/>
      </c>
      <c r="K309" s="4">
        <f>IF(C309="","",IFERROR(INDEX('판매구성'!$D$2:$D$501,MATCH(C309,'판매구성'!$A$2:$A$501,0)),""))</f>
        <v/>
      </c>
      <c r="L309" s="4">
        <f>IF(OR(J309="",K309=""),"",ROUND(J309-(J309-K309)*'설정'!$B$2,0))</f>
        <v/>
      </c>
      <c r="M309" s="4">
        <f>IF(OR(A309="",J309=""),"",ROUND(J309*N(IFERROR(INDEX('판매채널'!$F$2:$F$501,MATCH(A309,'판매채널'!$A$2:$A$501,0)),"")),0))</f>
        <v/>
      </c>
      <c r="N309" s="4">
        <f>IF(OR(J309="",K309=""),"",J309-M309-K309)</f>
        <v/>
      </c>
      <c r="O309" s="5">
        <f>IF(OR(J309="",J309=0),"",N309/J309)</f>
        <v/>
      </c>
    </row>
    <row r="310">
      <c r="B310" s="2">
        <f>IF(A310="","",IFERROR(INDEX('판매채널'!$B$2:$B$501,MATCH(A310,'판매채널'!$A$2:$A$501,0)),""))</f>
        <v/>
      </c>
      <c r="D310" s="2">
        <f>IF(C310="","",IFERROR(INDEX('판매구성'!$B$2:$B$501,MATCH(C310,'판매구성'!$A$2:$A$501,0)),""))</f>
        <v/>
      </c>
      <c r="G310" s="3" t="n"/>
      <c r="I310" s="2">
        <f>IF(C310="","",IFERROR(INDEX('판매구성'!$C$2:$C$501,MATCH(C310,'판매구성'!$A$2:$A$501,0)),""))</f>
        <v/>
      </c>
      <c r="J310" s="4">
        <f>IF(OR(C310="",E310=""),"",IFERROR(IF(INDEX('가격표'!$D$2:$K$501,MATCH(C310,'가격표'!$A$2:$A$501,0),MATCH(E310,'가격표'!$D$1:$K$1,0))="","",INDEX('가격표'!$D$2:$K$501,MATCH(C310,'가격표'!$A$2:$A$501,0),MATCH(E310,'가격표'!$D$1:$K$1,0))),""))</f>
        <v/>
      </c>
      <c r="K310" s="4">
        <f>IF(C310="","",IFERROR(INDEX('판매구성'!$D$2:$D$501,MATCH(C310,'판매구성'!$A$2:$A$501,0)),""))</f>
        <v/>
      </c>
      <c r="L310" s="4">
        <f>IF(OR(J310="",K310=""),"",ROUND(J310-(J310-K310)*'설정'!$B$2,0))</f>
        <v/>
      </c>
      <c r="M310" s="4">
        <f>IF(OR(A310="",J310=""),"",ROUND(J310*N(IFERROR(INDEX('판매채널'!$F$2:$F$501,MATCH(A310,'판매채널'!$A$2:$A$501,0)),"")),0))</f>
        <v/>
      </c>
      <c r="N310" s="4">
        <f>IF(OR(J310="",K310=""),"",J310-M310-K310)</f>
        <v/>
      </c>
      <c r="O310" s="5">
        <f>IF(OR(J310="",J310=0),"",N310/J310)</f>
        <v/>
      </c>
    </row>
    <row r="311">
      <c r="B311" s="2">
        <f>IF(A311="","",IFERROR(INDEX('판매채널'!$B$2:$B$501,MATCH(A311,'판매채널'!$A$2:$A$501,0)),""))</f>
        <v/>
      </c>
      <c r="D311" s="2">
        <f>IF(C311="","",IFERROR(INDEX('판매구성'!$B$2:$B$501,MATCH(C311,'판매구성'!$A$2:$A$501,0)),""))</f>
        <v/>
      </c>
      <c r="G311" s="3" t="n"/>
      <c r="I311" s="2">
        <f>IF(C311="","",IFERROR(INDEX('판매구성'!$C$2:$C$501,MATCH(C311,'판매구성'!$A$2:$A$501,0)),""))</f>
        <v/>
      </c>
      <c r="J311" s="4">
        <f>IF(OR(C311="",E311=""),"",IFERROR(IF(INDEX('가격표'!$D$2:$K$501,MATCH(C311,'가격표'!$A$2:$A$501,0),MATCH(E311,'가격표'!$D$1:$K$1,0))="","",INDEX('가격표'!$D$2:$K$501,MATCH(C311,'가격표'!$A$2:$A$501,0),MATCH(E311,'가격표'!$D$1:$K$1,0))),""))</f>
        <v/>
      </c>
      <c r="K311" s="4">
        <f>IF(C311="","",IFERROR(INDEX('판매구성'!$D$2:$D$501,MATCH(C311,'판매구성'!$A$2:$A$501,0)),""))</f>
        <v/>
      </c>
      <c r="L311" s="4">
        <f>IF(OR(J311="",K311=""),"",ROUND(J311-(J311-K311)*'설정'!$B$2,0))</f>
        <v/>
      </c>
      <c r="M311" s="4">
        <f>IF(OR(A311="",J311=""),"",ROUND(J311*N(IFERROR(INDEX('판매채널'!$F$2:$F$501,MATCH(A311,'판매채널'!$A$2:$A$501,0)),"")),0))</f>
        <v/>
      </c>
      <c r="N311" s="4">
        <f>IF(OR(J311="",K311=""),"",J311-M311-K311)</f>
        <v/>
      </c>
      <c r="O311" s="5">
        <f>IF(OR(J311="",J311=0),"",N311/J311)</f>
        <v/>
      </c>
    </row>
    <row r="312">
      <c r="B312" s="2">
        <f>IF(A312="","",IFERROR(INDEX('판매채널'!$B$2:$B$501,MATCH(A312,'판매채널'!$A$2:$A$501,0)),""))</f>
        <v/>
      </c>
      <c r="D312" s="2">
        <f>IF(C312="","",IFERROR(INDEX('판매구성'!$B$2:$B$501,MATCH(C312,'판매구성'!$A$2:$A$501,0)),""))</f>
        <v/>
      </c>
      <c r="G312" s="3" t="n"/>
      <c r="I312" s="2">
        <f>IF(C312="","",IFERROR(INDEX('판매구성'!$C$2:$C$501,MATCH(C312,'판매구성'!$A$2:$A$501,0)),""))</f>
        <v/>
      </c>
      <c r="J312" s="4">
        <f>IF(OR(C312="",E312=""),"",IFERROR(IF(INDEX('가격표'!$D$2:$K$501,MATCH(C312,'가격표'!$A$2:$A$501,0),MATCH(E312,'가격표'!$D$1:$K$1,0))="","",INDEX('가격표'!$D$2:$K$501,MATCH(C312,'가격표'!$A$2:$A$501,0),MATCH(E312,'가격표'!$D$1:$K$1,0))),""))</f>
        <v/>
      </c>
      <c r="K312" s="4">
        <f>IF(C312="","",IFERROR(INDEX('판매구성'!$D$2:$D$501,MATCH(C312,'판매구성'!$A$2:$A$501,0)),""))</f>
        <v/>
      </c>
      <c r="L312" s="4">
        <f>IF(OR(J312="",K312=""),"",ROUND(J312-(J312-K312)*'설정'!$B$2,0))</f>
        <v/>
      </c>
      <c r="M312" s="4">
        <f>IF(OR(A312="",J312=""),"",ROUND(J312*N(IFERROR(INDEX('판매채널'!$F$2:$F$501,MATCH(A312,'판매채널'!$A$2:$A$501,0)),"")),0))</f>
        <v/>
      </c>
      <c r="N312" s="4">
        <f>IF(OR(J312="",K312=""),"",J312-M312-K312)</f>
        <v/>
      </c>
      <c r="O312" s="5">
        <f>IF(OR(J312="",J312=0),"",N312/J312)</f>
        <v/>
      </c>
    </row>
    <row r="313">
      <c r="B313" s="2">
        <f>IF(A313="","",IFERROR(INDEX('판매채널'!$B$2:$B$501,MATCH(A313,'판매채널'!$A$2:$A$501,0)),""))</f>
        <v/>
      </c>
      <c r="D313" s="2">
        <f>IF(C313="","",IFERROR(INDEX('판매구성'!$B$2:$B$501,MATCH(C313,'판매구성'!$A$2:$A$501,0)),""))</f>
        <v/>
      </c>
      <c r="G313" s="3" t="n"/>
      <c r="I313" s="2">
        <f>IF(C313="","",IFERROR(INDEX('판매구성'!$C$2:$C$501,MATCH(C313,'판매구성'!$A$2:$A$501,0)),""))</f>
        <v/>
      </c>
      <c r="J313" s="4">
        <f>IF(OR(C313="",E313=""),"",IFERROR(IF(INDEX('가격표'!$D$2:$K$501,MATCH(C313,'가격표'!$A$2:$A$501,0),MATCH(E313,'가격표'!$D$1:$K$1,0))="","",INDEX('가격표'!$D$2:$K$501,MATCH(C313,'가격표'!$A$2:$A$501,0),MATCH(E313,'가격표'!$D$1:$K$1,0))),""))</f>
        <v/>
      </c>
      <c r="K313" s="4">
        <f>IF(C313="","",IFERROR(INDEX('판매구성'!$D$2:$D$501,MATCH(C313,'판매구성'!$A$2:$A$501,0)),""))</f>
        <v/>
      </c>
      <c r="L313" s="4">
        <f>IF(OR(J313="",K313=""),"",ROUND(J313-(J313-K313)*'설정'!$B$2,0))</f>
        <v/>
      </c>
      <c r="M313" s="4">
        <f>IF(OR(A313="",J313=""),"",ROUND(J313*N(IFERROR(INDEX('판매채널'!$F$2:$F$501,MATCH(A313,'판매채널'!$A$2:$A$501,0)),"")),0))</f>
        <v/>
      </c>
      <c r="N313" s="4">
        <f>IF(OR(J313="",K313=""),"",J313-M313-K313)</f>
        <v/>
      </c>
      <c r="O313" s="5">
        <f>IF(OR(J313="",J313=0),"",N313/J313)</f>
        <v/>
      </c>
    </row>
    <row r="314">
      <c r="B314" s="2">
        <f>IF(A314="","",IFERROR(INDEX('판매채널'!$B$2:$B$501,MATCH(A314,'판매채널'!$A$2:$A$501,0)),""))</f>
        <v/>
      </c>
      <c r="D314" s="2">
        <f>IF(C314="","",IFERROR(INDEX('판매구성'!$B$2:$B$501,MATCH(C314,'판매구성'!$A$2:$A$501,0)),""))</f>
        <v/>
      </c>
      <c r="G314" s="3" t="n"/>
      <c r="I314" s="2">
        <f>IF(C314="","",IFERROR(INDEX('판매구성'!$C$2:$C$501,MATCH(C314,'판매구성'!$A$2:$A$501,0)),""))</f>
        <v/>
      </c>
      <c r="J314" s="4">
        <f>IF(OR(C314="",E314=""),"",IFERROR(IF(INDEX('가격표'!$D$2:$K$501,MATCH(C314,'가격표'!$A$2:$A$501,0),MATCH(E314,'가격표'!$D$1:$K$1,0))="","",INDEX('가격표'!$D$2:$K$501,MATCH(C314,'가격표'!$A$2:$A$501,0),MATCH(E314,'가격표'!$D$1:$K$1,0))),""))</f>
        <v/>
      </c>
      <c r="K314" s="4">
        <f>IF(C314="","",IFERROR(INDEX('판매구성'!$D$2:$D$501,MATCH(C314,'판매구성'!$A$2:$A$501,0)),""))</f>
        <v/>
      </c>
      <c r="L314" s="4">
        <f>IF(OR(J314="",K314=""),"",ROUND(J314-(J314-K314)*'설정'!$B$2,0))</f>
        <v/>
      </c>
      <c r="M314" s="4">
        <f>IF(OR(A314="",J314=""),"",ROUND(J314*N(IFERROR(INDEX('판매채널'!$F$2:$F$501,MATCH(A314,'판매채널'!$A$2:$A$501,0)),"")),0))</f>
        <v/>
      </c>
      <c r="N314" s="4">
        <f>IF(OR(J314="",K314=""),"",J314-M314-K314)</f>
        <v/>
      </c>
      <c r="O314" s="5">
        <f>IF(OR(J314="",J314=0),"",N314/J314)</f>
        <v/>
      </c>
    </row>
    <row r="315">
      <c r="B315" s="2">
        <f>IF(A315="","",IFERROR(INDEX('판매채널'!$B$2:$B$501,MATCH(A315,'판매채널'!$A$2:$A$501,0)),""))</f>
        <v/>
      </c>
      <c r="D315" s="2">
        <f>IF(C315="","",IFERROR(INDEX('판매구성'!$B$2:$B$501,MATCH(C315,'판매구성'!$A$2:$A$501,0)),""))</f>
        <v/>
      </c>
      <c r="G315" s="3" t="n"/>
      <c r="I315" s="2">
        <f>IF(C315="","",IFERROR(INDEX('판매구성'!$C$2:$C$501,MATCH(C315,'판매구성'!$A$2:$A$501,0)),""))</f>
        <v/>
      </c>
      <c r="J315" s="4">
        <f>IF(OR(C315="",E315=""),"",IFERROR(IF(INDEX('가격표'!$D$2:$K$501,MATCH(C315,'가격표'!$A$2:$A$501,0),MATCH(E315,'가격표'!$D$1:$K$1,0))="","",INDEX('가격표'!$D$2:$K$501,MATCH(C315,'가격표'!$A$2:$A$501,0),MATCH(E315,'가격표'!$D$1:$K$1,0))),""))</f>
        <v/>
      </c>
      <c r="K315" s="4">
        <f>IF(C315="","",IFERROR(INDEX('판매구성'!$D$2:$D$501,MATCH(C315,'판매구성'!$A$2:$A$501,0)),""))</f>
        <v/>
      </c>
      <c r="L315" s="4">
        <f>IF(OR(J315="",K315=""),"",ROUND(J315-(J315-K315)*'설정'!$B$2,0))</f>
        <v/>
      </c>
      <c r="M315" s="4">
        <f>IF(OR(A315="",J315=""),"",ROUND(J315*N(IFERROR(INDEX('판매채널'!$F$2:$F$501,MATCH(A315,'판매채널'!$A$2:$A$501,0)),"")),0))</f>
        <v/>
      </c>
      <c r="N315" s="4">
        <f>IF(OR(J315="",K315=""),"",J315-M315-K315)</f>
        <v/>
      </c>
      <c r="O315" s="5">
        <f>IF(OR(J315="",J315=0),"",N315/J315)</f>
        <v/>
      </c>
    </row>
    <row r="316">
      <c r="B316" s="2">
        <f>IF(A316="","",IFERROR(INDEX('판매채널'!$B$2:$B$501,MATCH(A316,'판매채널'!$A$2:$A$501,0)),""))</f>
        <v/>
      </c>
      <c r="D316" s="2">
        <f>IF(C316="","",IFERROR(INDEX('판매구성'!$B$2:$B$501,MATCH(C316,'판매구성'!$A$2:$A$501,0)),""))</f>
        <v/>
      </c>
      <c r="G316" s="3" t="n"/>
      <c r="I316" s="2">
        <f>IF(C316="","",IFERROR(INDEX('판매구성'!$C$2:$C$501,MATCH(C316,'판매구성'!$A$2:$A$501,0)),""))</f>
        <v/>
      </c>
      <c r="J316" s="4">
        <f>IF(OR(C316="",E316=""),"",IFERROR(IF(INDEX('가격표'!$D$2:$K$501,MATCH(C316,'가격표'!$A$2:$A$501,0),MATCH(E316,'가격표'!$D$1:$K$1,0))="","",INDEX('가격표'!$D$2:$K$501,MATCH(C316,'가격표'!$A$2:$A$501,0),MATCH(E316,'가격표'!$D$1:$K$1,0))),""))</f>
        <v/>
      </c>
      <c r="K316" s="4">
        <f>IF(C316="","",IFERROR(INDEX('판매구성'!$D$2:$D$501,MATCH(C316,'판매구성'!$A$2:$A$501,0)),""))</f>
        <v/>
      </c>
      <c r="L316" s="4">
        <f>IF(OR(J316="",K316=""),"",ROUND(J316-(J316-K316)*'설정'!$B$2,0))</f>
        <v/>
      </c>
      <c r="M316" s="4">
        <f>IF(OR(A316="",J316=""),"",ROUND(J316*N(IFERROR(INDEX('판매채널'!$F$2:$F$501,MATCH(A316,'판매채널'!$A$2:$A$501,0)),"")),0))</f>
        <v/>
      </c>
      <c r="N316" s="4">
        <f>IF(OR(J316="",K316=""),"",J316-M316-K316)</f>
        <v/>
      </c>
      <c r="O316" s="5">
        <f>IF(OR(J316="",J316=0),"",N316/J316)</f>
        <v/>
      </c>
    </row>
    <row r="317">
      <c r="B317" s="2">
        <f>IF(A317="","",IFERROR(INDEX('판매채널'!$B$2:$B$501,MATCH(A317,'판매채널'!$A$2:$A$501,0)),""))</f>
        <v/>
      </c>
      <c r="D317" s="2">
        <f>IF(C317="","",IFERROR(INDEX('판매구성'!$B$2:$B$501,MATCH(C317,'판매구성'!$A$2:$A$501,0)),""))</f>
        <v/>
      </c>
      <c r="G317" s="3" t="n"/>
      <c r="I317" s="2">
        <f>IF(C317="","",IFERROR(INDEX('판매구성'!$C$2:$C$501,MATCH(C317,'판매구성'!$A$2:$A$501,0)),""))</f>
        <v/>
      </c>
      <c r="J317" s="4">
        <f>IF(OR(C317="",E317=""),"",IFERROR(IF(INDEX('가격표'!$D$2:$K$501,MATCH(C317,'가격표'!$A$2:$A$501,0),MATCH(E317,'가격표'!$D$1:$K$1,0))="","",INDEX('가격표'!$D$2:$K$501,MATCH(C317,'가격표'!$A$2:$A$501,0),MATCH(E317,'가격표'!$D$1:$K$1,0))),""))</f>
        <v/>
      </c>
      <c r="K317" s="4">
        <f>IF(C317="","",IFERROR(INDEX('판매구성'!$D$2:$D$501,MATCH(C317,'판매구성'!$A$2:$A$501,0)),""))</f>
        <v/>
      </c>
      <c r="L317" s="4">
        <f>IF(OR(J317="",K317=""),"",ROUND(J317-(J317-K317)*'설정'!$B$2,0))</f>
        <v/>
      </c>
      <c r="M317" s="4">
        <f>IF(OR(A317="",J317=""),"",ROUND(J317*N(IFERROR(INDEX('판매채널'!$F$2:$F$501,MATCH(A317,'판매채널'!$A$2:$A$501,0)),"")),0))</f>
        <v/>
      </c>
      <c r="N317" s="4">
        <f>IF(OR(J317="",K317=""),"",J317-M317-K317)</f>
        <v/>
      </c>
      <c r="O317" s="5">
        <f>IF(OR(J317="",J317=0),"",N317/J317)</f>
        <v/>
      </c>
    </row>
    <row r="318">
      <c r="B318" s="2">
        <f>IF(A318="","",IFERROR(INDEX('판매채널'!$B$2:$B$501,MATCH(A318,'판매채널'!$A$2:$A$501,0)),""))</f>
        <v/>
      </c>
      <c r="D318" s="2">
        <f>IF(C318="","",IFERROR(INDEX('판매구성'!$B$2:$B$501,MATCH(C318,'판매구성'!$A$2:$A$501,0)),""))</f>
        <v/>
      </c>
      <c r="G318" s="3" t="n"/>
      <c r="I318" s="2">
        <f>IF(C318="","",IFERROR(INDEX('판매구성'!$C$2:$C$501,MATCH(C318,'판매구성'!$A$2:$A$501,0)),""))</f>
        <v/>
      </c>
      <c r="J318" s="4">
        <f>IF(OR(C318="",E318=""),"",IFERROR(IF(INDEX('가격표'!$D$2:$K$501,MATCH(C318,'가격표'!$A$2:$A$501,0),MATCH(E318,'가격표'!$D$1:$K$1,0))="","",INDEX('가격표'!$D$2:$K$501,MATCH(C318,'가격표'!$A$2:$A$501,0),MATCH(E318,'가격표'!$D$1:$K$1,0))),""))</f>
        <v/>
      </c>
      <c r="K318" s="4">
        <f>IF(C318="","",IFERROR(INDEX('판매구성'!$D$2:$D$501,MATCH(C318,'판매구성'!$A$2:$A$501,0)),""))</f>
        <v/>
      </c>
      <c r="L318" s="4">
        <f>IF(OR(J318="",K318=""),"",ROUND(J318-(J318-K318)*'설정'!$B$2,0))</f>
        <v/>
      </c>
      <c r="M318" s="4">
        <f>IF(OR(A318="",J318=""),"",ROUND(J318*N(IFERROR(INDEX('판매채널'!$F$2:$F$501,MATCH(A318,'판매채널'!$A$2:$A$501,0)),"")),0))</f>
        <v/>
      </c>
      <c r="N318" s="4">
        <f>IF(OR(J318="",K318=""),"",J318-M318-K318)</f>
        <v/>
      </c>
      <c r="O318" s="5">
        <f>IF(OR(J318="",J318=0),"",N318/J318)</f>
        <v/>
      </c>
    </row>
    <row r="319">
      <c r="B319" s="2">
        <f>IF(A319="","",IFERROR(INDEX('판매채널'!$B$2:$B$501,MATCH(A319,'판매채널'!$A$2:$A$501,0)),""))</f>
        <v/>
      </c>
      <c r="D319" s="2">
        <f>IF(C319="","",IFERROR(INDEX('판매구성'!$B$2:$B$501,MATCH(C319,'판매구성'!$A$2:$A$501,0)),""))</f>
        <v/>
      </c>
      <c r="G319" s="3" t="n"/>
      <c r="I319" s="2">
        <f>IF(C319="","",IFERROR(INDEX('판매구성'!$C$2:$C$501,MATCH(C319,'판매구성'!$A$2:$A$501,0)),""))</f>
        <v/>
      </c>
      <c r="J319" s="4">
        <f>IF(OR(C319="",E319=""),"",IFERROR(IF(INDEX('가격표'!$D$2:$K$501,MATCH(C319,'가격표'!$A$2:$A$501,0),MATCH(E319,'가격표'!$D$1:$K$1,0))="","",INDEX('가격표'!$D$2:$K$501,MATCH(C319,'가격표'!$A$2:$A$501,0),MATCH(E319,'가격표'!$D$1:$K$1,0))),""))</f>
        <v/>
      </c>
      <c r="K319" s="4">
        <f>IF(C319="","",IFERROR(INDEX('판매구성'!$D$2:$D$501,MATCH(C319,'판매구성'!$A$2:$A$501,0)),""))</f>
        <v/>
      </c>
      <c r="L319" s="4">
        <f>IF(OR(J319="",K319=""),"",ROUND(J319-(J319-K319)*'설정'!$B$2,0))</f>
        <v/>
      </c>
      <c r="M319" s="4">
        <f>IF(OR(A319="",J319=""),"",ROUND(J319*N(IFERROR(INDEX('판매채널'!$F$2:$F$501,MATCH(A319,'판매채널'!$A$2:$A$501,0)),"")),0))</f>
        <v/>
      </c>
      <c r="N319" s="4">
        <f>IF(OR(J319="",K319=""),"",J319-M319-K319)</f>
        <v/>
      </c>
      <c r="O319" s="5">
        <f>IF(OR(J319="",J319=0),"",N319/J319)</f>
        <v/>
      </c>
    </row>
    <row r="320">
      <c r="B320" s="2">
        <f>IF(A320="","",IFERROR(INDEX('판매채널'!$B$2:$B$501,MATCH(A320,'판매채널'!$A$2:$A$501,0)),""))</f>
        <v/>
      </c>
      <c r="D320" s="2">
        <f>IF(C320="","",IFERROR(INDEX('판매구성'!$B$2:$B$501,MATCH(C320,'판매구성'!$A$2:$A$501,0)),""))</f>
        <v/>
      </c>
      <c r="G320" s="3" t="n"/>
      <c r="I320" s="2">
        <f>IF(C320="","",IFERROR(INDEX('판매구성'!$C$2:$C$501,MATCH(C320,'판매구성'!$A$2:$A$501,0)),""))</f>
        <v/>
      </c>
      <c r="J320" s="4">
        <f>IF(OR(C320="",E320=""),"",IFERROR(IF(INDEX('가격표'!$D$2:$K$501,MATCH(C320,'가격표'!$A$2:$A$501,0),MATCH(E320,'가격표'!$D$1:$K$1,0))="","",INDEX('가격표'!$D$2:$K$501,MATCH(C320,'가격표'!$A$2:$A$501,0),MATCH(E320,'가격표'!$D$1:$K$1,0))),""))</f>
        <v/>
      </c>
      <c r="K320" s="4">
        <f>IF(C320="","",IFERROR(INDEX('판매구성'!$D$2:$D$501,MATCH(C320,'판매구성'!$A$2:$A$501,0)),""))</f>
        <v/>
      </c>
      <c r="L320" s="4">
        <f>IF(OR(J320="",K320=""),"",ROUND(J320-(J320-K320)*'설정'!$B$2,0))</f>
        <v/>
      </c>
      <c r="M320" s="4">
        <f>IF(OR(A320="",J320=""),"",ROUND(J320*N(IFERROR(INDEX('판매채널'!$F$2:$F$501,MATCH(A320,'판매채널'!$A$2:$A$501,0)),"")),0))</f>
        <v/>
      </c>
      <c r="N320" s="4">
        <f>IF(OR(J320="",K320=""),"",J320-M320-K320)</f>
        <v/>
      </c>
      <c r="O320" s="5">
        <f>IF(OR(J320="",J320=0),"",N320/J320)</f>
        <v/>
      </c>
    </row>
    <row r="321">
      <c r="B321" s="2">
        <f>IF(A321="","",IFERROR(INDEX('판매채널'!$B$2:$B$501,MATCH(A321,'판매채널'!$A$2:$A$501,0)),""))</f>
        <v/>
      </c>
      <c r="D321" s="2">
        <f>IF(C321="","",IFERROR(INDEX('판매구성'!$B$2:$B$501,MATCH(C321,'판매구성'!$A$2:$A$501,0)),""))</f>
        <v/>
      </c>
      <c r="G321" s="3" t="n"/>
      <c r="I321" s="2">
        <f>IF(C321="","",IFERROR(INDEX('판매구성'!$C$2:$C$501,MATCH(C321,'판매구성'!$A$2:$A$501,0)),""))</f>
        <v/>
      </c>
      <c r="J321" s="4">
        <f>IF(OR(C321="",E321=""),"",IFERROR(IF(INDEX('가격표'!$D$2:$K$501,MATCH(C321,'가격표'!$A$2:$A$501,0),MATCH(E321,'가격표'!$D$1:$K$1,0))="","",INDEX('가격표'!$D$2:$K$501,MATCH(C321,'가격표'!$A$2:$A$501,0),MATCH(E321,'가격표'!$D$1:$K$1,0))),""))</f>
        <v/>
      </c>
      <c r="K321" s="4">
        <f>IF(C321="","",IFERROR(INDEX('판매구성'!$D$2:$D$501,MATCH(C321,'판매구성'!$A$2:$A$501,0)),""))</f>
        <v/>
      </c>
      <c r="L321" s="4">
        <f>IF(OR(J321="",K321=""),"",ROUND(J321-(J321-K321)*'설정'!$B$2,0))</f>
        <v/>
      </c>
      <c r="M321" s="4">
        <f>IF(OR(A321="",J321=""),"",ROUND(J321*N(IFERROR(INDEX('판매채널'!$F$2:$F$501,MATCH(A321,'판매채널'!$A$2:$A$501,0)),"")),0))</f>
        <v/>
      </c>
      <c r="N321" s="4">
        <f>IF(OR(J321="",K321=""),"",J321-M321-K321)</f>
        <v/>
      </c>
      <c r="O321" s="5">
        <f>IF(OR(J321="",J321=0),"",N321/J321)</f>
        <v/>
      </c>
    </row>
    <row r="322">
      <c r="B322" s="2">
        <f>IF(A322="","",IFERROR(INDEX('판매채널'!$B$2:$B$501,MATCH(A322,'판매채널'!$A$2:$A$501,0)),""))</f>
        <v/>
      </c>
      <c r="D322" s="2">
        <f>IF(C322="","",IFERROR(INDEX('판매구성'!$B$2:$B$501,MATCH(C322,'판매구성'!$A$2:$A$501,0)),""))</f>
        <v/>
      </c>
      <c r="G322" s="3" t="n"/>
      <c r="I322" s="2">
        <f>IF(C322="","",IFERROR(INDEX('판매구성'!$C$2:$C$501,MATCH(C322,'판매구성'!$A$2:$A$501,0)),""))</f>
        <v/>
      </c>
      <c r="J322" s="4">
        <f>IF(OR(C322="",E322=""),"",IFERROR(IF(INDEX('가격표'!$D$2:$K$501,MATCH(C322,'가격표'!$A$2:$A$501,0),MATCH(E322,'가격표'!$D$1:$K$1,0))="","",INDEX('가격표'!$D$2:$K$501,MATCH(C322,'가격표'!$A$2:$A$501,0),MATCH(E322,'가격표'!$D$1:$K$1,0))),""))</f>
        <v/>
      </c>
      <c r="K322" s="4">
        <f>IF(C322="","",IFERROR(INDEX('판매구성'!$D$2:$D$501,MATCH(C322,'판매구성'!$A$2:$A$501,0)),""))</f>
        <v/>
      </c>
      <c r="L322" s="4">
        <f>IF(OR(J322="",K322=""),"",ROUND(J322-(J322-K322)*'설정'!$B$2,0))</f>
        <v/>
      </c>
      <c r="M322" s="4">
        <f>IF(OR(A322="",J322=""),"",ROUND(J322*N(IFERROR(INDEX('판매채널'!$F$2:$F$501,MATCH(A322,'판매채널'!$A$2:$A$501,0)),"")),0))</f>
        <v/>
      </c>
      <c r="N322" s="4">
        <f>IF(OR(J322="",K322=""),"",J322-M322-K322)</f>
        <v/>
      </c>
      <c r="O322" s="5">
        <f>IF(OR(J322="",J322=0),"",N322/J322)</f>
        <v/>
      </c>
    </row>
    <row r="323">
      <c r="B323" s="2">
        <f>IF(A323="","",IFERROR(INDEX('판매채널'!$B$2:$B$501,MATCH(A323,'판매채널'!$A$2:$A$501,0)),""))</f>
        <v/>
      </c>
      <c r="D323" s="2">
        <f>IF(C323="","",IFERROR(INDEX('판매구성'!$B$2:$B$501,MATCH(C323,'판매구성'!$A$2:$A$501,0)),""))</f>
        <v/>
      </c>
      <c r="G323" s="3" t="n"/>
      <c r="I323" s="2">
        <f>IF(C323="","",IFERROR(INDEX('판매구성'!$C$2:$C$501,MATCH(C323,'판매구성'!$A$2:$A$501,0)),""))</f>
        <v/>
      </c>
      <c r="J323" s="4">
        <f>IF(OR(C323="",E323=""),"",IFERROR(IF(INDEX('가격표'!$D$2:$K$501,MATCH(C323,'가격표'!$A$2:$A$501,0),MATCH(E323,'가격표'!$D$1:$K$1,0))="","",INDEX('가격표'!$D$2:$K$501,MATCH(C323,'가격표'!$A$2:$A$501,0),MATCH(E323,'가격표'!$D$1:$K$1,0))),""))</f>
        <v/>
      </c>
      <c r="K323" s="4">
        <f>IF(C323="","",IFERROR(INDEX('판매구성'!$D$2:$D$501,MATCH(C323,'판매구성'!$A$2:$A$501,0)),""))</f>
        <v/>
      </c>
      <c r="L323" s="4">
        <f>IF(OR(J323="",K323=""),"",ROUND(J323-(J323-K323)*'설정'!$B$2,0))</f>
        <v/>
      </c>
      <c r="M323" s="4">
        <f>IF(OR(A323="",J323=""),"",ROUND(J323*N(IFERROR(INDEX('판매채널'!$F$2:$F$501,MATCH(A323,'판매채널'!$A$2:$A$501,0)),"")),0))</f>
        <v/>
      </c>
      <c r="N323" s="4">
        <f>IF(OR(J323="",K323=""),"",J323-M323-K323)</f>
        <v/>
      </c>
      <c r="O323" s="5">
        <f>IF(OR(J323="",J323=0),"",N323/J323)</f>
        <v/>
      </c>
    </row>
    <row r="324">
      <c r="B324" s="2">
        <f>IF(A324="","",IFERROR(INDEX('판매채널'!$B$2:$B$501,MATCH(A324,'판매채널'!$A$2:$A$501,0)),""))</f>
        <v/>
      </c>
      <c r="D324" s="2">
        <f>IF(C324="","",IFERROR(INDEX('판매구성'!$B$2:$B$501,MATCH(C324,'판매구성'!$A$2:$A$501,0)),""))</f>
        <v/>
      </c>
      <c r="G324" s="3" t="n"/>
      <c r="I324" s="2">
        <f>IF(C324="","",IFERROR(INDEX('판매구성'!$C$2:$C$501,MATCH(C324,'판매구성'!$A$2:$A$501,0)),""))</f>
        <v/>
      </c>
      <c r="J324" s="4">
        <f>IF(OR(C324="",E324=""),"",IFERROR(IF(INDEX('가격표'!$D$2:$K$501,MATCH(C324,'가격표'!$A$2:$A$501,0),MATCH(E324,'가격표'!$D$1:$K$1,0))="","",INDEX('가격표'!$D$2:$K$501,MATCH(C324,'가격표'!$A$2:$A$501,0),MATCH(E324,'가격표'!$D$1:$K$1,0))),""))</f>
        <v/>
      </c>
      <c r="K324" s="4">
        <f>IF(C324="","",IFERROR(INDEX('판매구성'!$D$2:$D$501,MATCH(C324,'판매구성'!$A$2:$A$501,0)),""))</f>
        <v/>
      </c>
      <c r="L324" s="4">
        <f>IF(OR(J324="",K324=""),"",ROUND(J324-(J324-K324)*'설정'!$B$2,0))</f>
        <v/>
      </c>
      <c r="M324" s="4">
        <f>IF(OR(A324="",J324=""),"",ROUND(J324*N(IFERROR(INDEX('판매채널'!$F$2:$F$501,MATCH(A324,'판매채널'!$A$2:$A$501,0)),"")),0))</f>
        <v/>
      </c>
      <c r="N324" s="4">
        <f>IF(OR(J324="",K324=""),"",J324-M324-K324)</f>
        <v/>
      </c>
      <c r="O324" s="5">
        <f>IF(OR(J324="",J324=0),"",N324/J324)</f>
        <v/>
      </c>
    </row>
    <row r="325">
      <c r="B325" s="2">
        <f>IF(A325="","",IFERROR(INDEX('판매채널'!$B$2:$B$501,MATCH(A325,'판매채널'!$A$2:$A$501,0)),""))</f>
        <v/>
      </c>
      <c r="D325" s="2">
        <f>IF(C325="","",IFERROR(INDEX('판매구성'!$B$2:$B$501,MATCH(C325,'판매구성'!$A$2:$A$501,0)),""))</f>
        <v/>
      </c>
      <c r="G325" s="3" t="n"/>
      <c r="I325" s="2">
        <f>IF(C325="","",IFERROR(INDEX('판매구성'!$C$2:$C$501,MATCH(C325,'판매구성'!$A$2:$A$501,0)),""))</f>
        <v/>
      </c>
      <c r="J325" s="4">
        <f>IF(OR(C325="",E325=""),"",IFERROR(IF(INDEX('가격표'!$D$2:$K$501,MATCH(C325,'가격표'!$A$2:$A$501,0),MATCH(E325,'가격표'!$D$1:$K$1,0))="","",INDEX('가격표'!$D$2:$K$501,MATCH(C325,'가격표'!$A$2:$A$501,0),MATCH(E325,'가격표'!$D$1:$K$1,0))),""))</f>
        <v/>
      </c>
      <c r="K325" s="4">
        <f>IF(C325="","",IFERROR(INDEX('판매구성'!$D$2:$D$501,MATCH(C325,'판매구성'!$A$2:$A$501,0)),""))</f>
        <v/>
      </c>
      <c r="L325" s="4">
        <f>IF(OR(J325="",K325=""),"",ROUND(J325-(J325-K325)*'설정'!$B$2,0))</f>
        <v/>
      </c>
      <c r="M325" s="4">
        <f>IF(OR(A325="",J325=""),"",ROUND(J325*N(IFERROR(INDEX('판매채널'!$F$2:$F$501,MATCH(A325,'판매채널'!$A$2:$A$501,0)),"")),0))</f>
        <v/>
      </c>
      <c r="N325" s="4">
        <f>IF(OR(J325="",K325=""),"",J325-M325-K325)</f>
        <v/>
      </c>
      <c r="O325" s="5">
        <f>IF(OR(J325="",J325=0),"",N325/J325)</f>
        <v/>
      </c>
    </row>
    <row r="326">
      <c r="B326" s="2">
        <f>IF(A326="","",IFERROR(INDEX('판매채널'!$B$2:$B$501,MATCH(A326,'판매채널'!$A$2:$A$501,0)),""))</f>
        <v/>
      </c>
      <c r="D326" s="2">
        <f>IF(C326="","",IFERROR(INDEX('판매구성'!$B$2:$B$501,MATCH(C326,'판매구성'!$A$2:$A$501,0)),""))</f>
        <v/>
      </c>
      <c r="G326" s="3" t="n"/>
      <c r="I326" s="2">
        <f>IF(C326="","",IFERROR(INDEX('판매구성'!$C$2:$C$501,MATCH(C326,'판매구성'!$A$2:$A$501,0)),""))</f>
        <v/>
      </c>
      <c r="J326" s="4">
        <f>IF(OR(C326="",E326=""),"",IFERROR(IF(INDEX('가격표'!$D$2:$K$501,MATCH(C326,'가격표'!$A$2:$A$501,0),MATCH(E326,'가격표'!$D$1:$K$1,0))="","",INDEX('가격표'!$D$2:$K$501,MATCH(C326,'가격표'!$A$2:$A$501,0),MATCH(E326,'가격표'!$D$1:$K$1,0))),""))</f>
        <v/>
      </c>
      <c r="K326" s="4">
        <f>IF(C326="","",IFERROR(INDEX('판매구성'!$D$2:$D$501,MATCH(C326,'판매구성'!$A$2:$A$501,0)),""))</f>
        <v/>
      </c>
      <c r="L326" s="4">
        <f>IF(OR(J326="",K326=""),"",ROUND(J326-(J326-K326)*'설정'!$B$2,0))</f>
        <v/>
      </c>
      <c r="M326" s="4">
        <f>IF(OR(A326="",J326=""),"",ROUND(J326*N(IFERROR(INDEX('판매채널'!$F$2:$F$501,MATCH(A326,'판매채널'!$A$2:$A$501,0)),"")),0))</f>
        <v/>
      </c>
      <c r="N326" s="4">
        <f>IF(OR(J326="",K326=""),"",J326-M326-K326)</f>
        <v/>
      </c>
      <c r="O326" s="5">
        <f>IF(OR(J326="",J326=0),"",N326/J326)</f>
        <v/>
      </c>
    </row>
    <row r="327">
      <c r="B327" s="2">
        <f>IF(A327="","",IFERROR(INDEX('판매채널'!$B$2:$B$501,MATCH(A327,'판매채널'!$A$2:$A$501,0)),""))</f>
        <v/>
      </c>
      <c r="D327" s="2">
        <f>IF(C327="","",IFERROR(INDEX('판매구성'!$B$2:$B$501,MATCH(C327,'판매구성'!$A$2:$A$501,0)),""))</f>
        <v/>
      </c>
      <c r="G327" s="3" t="n"/>
      <c r="I327" s="2">
        <f>IF(C327="","",IFERROR(INDEX('판매구성'!$C$2:$C$501,MATCH(C327,'판매구성'!$A$2:$A$501,0)),""))</f>
        <v/>
      </c>
      <c r="J327" s="4">
        <f>IF(OR(C327="",E327=""),"",IFERROR(IF(INDEX('가격표'!$D$2:$K$501,MATCH(C327,'가격표'!$A$2:$A$501,0),MATCH(E327,'가격표'!$D$1:$K$1,0))="","",INDEX('가격표'!$D$2:$K$501,MATCH(C327,'가격표'!$A$2:$A$501,0),MATCH(E327,'가격표'!$D$1:$K$1,0))),""))</f>
        <v/>
      </c>
      <c r="K327" s="4">
        <f>IF(C327="","",IFERROR(INDEX('판매구성'!$D$2:$D$501,MATCH(C327,'판매구성'!$A$2:$A$501,0)),""))</f>
        <v/>
      </c>
      <c r="L327" s="4">
        <f>IF(OR(J327="",K327=""),"",ROUND(J327-(J327-K327)*'설정'!$B$2,0))</f>
        <v/>
      </c>
      <c r="M327" s="4">
        <f>IF(OR(A327="",J327=""),"",ROUND(J327*N(IFERROR(INDEX('판매채널'!$F$2:$F$501,MATCH(A327,'판매채널'!$A$2:$A$501,0)),"")),0))</f>
        <v/>
      </c>
      <c r="N327" s="4">
        <f>IF(OR(J327="",K327=""),"",J327-M327-K327)</f>
        <v/>
      </c>
      <c r="O327" s="5">
        <f>IF(OR(J327="",J327=0),"",N327/J327)</f>
        <v/>
      </c>
    </row>
    <row r="328">
      <c r="B328" s="2">
        <f>IF(A328="","",IFERROR(INDEX('판매채널'!$B$2:$B$501,MATCH(A328,'판매채널'!$A$2:$A$501,0)),""))</f>
        <v/>
      </c>
      <c r="D328" s="2">
        <f>IF(C328="","",IFERROR(INDEX('판매구성'!$B$2:$B$501,MATCH(C328,'판매구성'!$A$2:$A$501,0)),""))</f>
        <v/>
      </c>
      <c r="G328" s="3" t="n"/>
      <c r="I328" s="2">
        <f>IF(C328="","",IFERROR(INDEX('판매구성'!$C$2:$C$501,MATCH(C328,'판매구성'!$A$2:$A$501,0)),""))</f>
        <v/>
      </c>
      <c r="J328" s="4">
        <f>IF(OR(C328="",E328=""),"",IFERROR(IF(INDEX('가격표'!$D$2:$K$501,MATCH(C328,'가격표'!$A$2:$A$501,0),MATCH(E328,'가격표'!$D$1:$K$1,0))="","",INDEX('가격표'!$D$2:$K$501,MATCH(C328,'가격표'!$A$2:$A$501,0),MATCH(E328,'가격표'!$D$1:$K$1,0))),""))</f>
        <v/>
      </c>
      <c r="K328" s="4">
        <f>IF(C328="","",IFERROR(INDEX('판매구성'!$D$2:$D$501,MATCH(C328,'판매구성'!$A$2:$A$501,0)),""))</f>
        <v/>
      </c>
      <c r="L328" s="4">
        <f>IF(OR(J328="",K328=""),"",ROUND(J328-(J328-K328)*'설정'!$B$2,0))</f>
        <v/>
      </c>
      <c r="M328" s="4">
        <f>IF(OR(A328="",J328=""),"",ROUND(J328*N(IFERROR(INDEX('판매채널'!$F$2:$F$501,MATCH(A328,'판매채널'!$A$2:$A$501,0)),"")),0))</f>
        <v/>
      </c>
      <c r="N328" s="4">
        <f>IF(OR(J328="",K328=""),"",J328-M328-K328)</f>
        <v/>
      </c>
      <c r="O328" s="5">
        <f>IF(OR(J328="",J328=0),"",N328/J328)</f>
        <v/>
      </c>
    </row>
    <row r="329">
      <c r="B329" s="2">
        <f>IF(A329="","",IFERROR(INDEX('판매채널'!$B$2:$B$501,MATCH(A329,'판매채널'!$A$2:$A$501,0)),""))</f>
        <v/>
      </c>
      <c r="D329" s="2">
        <f>IF(C329="","",IFERROR(INDEX('판매구성'!$B$2:$B$501,MATCH(C329,'판매구성'!$A$2:$A$501,0)),""))</f>
        <v/>
      </c>
      <c r="G329" s="3" t="n"/>
      <c r="I329" s="2">
        <f>IF(C329="","",IFERROR(INDEX('판매구성'!$C$2:$C$501,MATCH(C329,'판매구성'!$A$2:$A$501,0)),""))</f>
        <v/>
      </c>
      <c r="J329" s="4">
        <f>IF(OR(C329="",E329=""),"",IFERROR(IF(INDEX('가격표'!$D$2:$K$501,MATCH(C329,'가격표'!$A$2:$A$501,0),MATCH(E329,'가격표'!$D$1:$K$1,0))="","",INDEX('가격표'!$D$2:$K$501,MATCH(C329,'가격표'!$A$2:$A$501,0),MATCH(E329,'가격표'!$D$1:$K$1,0))),""))</f>
        <v/>
      </c>
      <c r="K329" s="4">
        <f>IF(C329="","",IFERROR(INDEX('판매구성'!$D$2:$D$501,MATCH(C329,'판매구성'!$A$2:$A$501,0)),""))</f>
        <v/>
      </c>
      <c r="L329" s="4">
        <f>IF(OR(J329="",K329=""),"",ROUND(J329-(J329-K329)*'설정'!$B$2,0))</f>
        <v/>
      </c>
      <c r="M329" s="4">
        <f>IF(OR(A329="",J329=""),"",ROUND(J329*N(IFERROR(INDEX('판매채널'!$F$2:$F$501,MATCH(A329,'판매채널'!$A$2:$A$501,0)),"")),0))</f>
        <v/>
      </c>
      <c r="N329" s="4">
        <f>IF(OR(J329="",K329=""),"",J329-M329-K329)</f>
        <v/>
      </c>
      <c r="O329" s="5">
        <f>IF(OR(J329="",J329=0),"",N329/J329)</f>
        <v/>
      </c>
    </row>
    <row r="330">
      <c r="B330" s="2">
        <f>IF(A330="","",IFERROR(INDEX('판매채널'!$B$2:$B$501,MATCH(A330,'판매채널'!$A$2:$A$501,0)),""))</f>
        <v/>
      </c>
      <c r="D330" s="2">
        <f>IF(C330="","",IFERROR(INDEX('판매구성'!$B$2:$B$501,MATCH(C330,'판매구성'!$A$2:$A$501,0)),""))</f>
        <v/>
      </c>
      <c r="G330" s="3" t="n"/>
      <c r="I330" s="2">
        <f>IF(C330="","",IFERROR(INDEX('판매구성'!$C$2:$C$501,MATCH(C330,'판매구성'!$A$2:$A$501,0)),""))</f>
        <v/>
      </c>
      <c r="J330" s="4">
        <f>IF(OR(C330="",E330=""),"",IFERROR(IF(INDEX('가격표'!$D$2:$K$501,MATCH(C330,'가격표'!$A$2:$A$501,0),MATCH(E330,'가격표'!$D$1:$K$1,0))="","",INDEX('가격표'!$D$2:$K$501,MATCH(C330,'가격표'!$A$2:$A$501,0),MATCH(E330,'가격표'!$D$1:$K$1,0))),""))</f>
        <v/>
      </c>
      <c r="K330" s="4">
        <f>IF(C330="","",IFERROR(INDEX('판매구성'!$D$2:$D$501,MATCH(C330,'판매구성'!$A$2:$A$501,0)),""))</f>
        <v/>
      </c>
      <c r="L330" s="4">
        <f>IF(OR(J330="",K330=""),"",ROUND(J330-(J330-K330)*'설정'!$B$2,0))</f>
        <v/>
      </c>
      <c r="M330" s="4">
        <f>IF(OR(A330="",J330=""),"",ROUND(J330*N(IFERROR(INDEX('판매채널'!$F$2:$F$501,MATCH(A330,'판매채널'!$A$2:$A$501,0)),"")),0))</f>
        <v/>
      </c>
      <c r="N330" s="4">
        <f>IF(OR(J330="",K330=""),"",J330-M330-K330)</f>
        <v/>
      </c>
      <c r="O330" s="5">
        <f>IF(OR(J330="",J330=0),"",N330/J330)</f>
        <v/>
      </c>
    </row>
    <row r="331">
      <c r="B331" s="2">
        <f>IF(A331="","",IFERROR(INDEX('판매채널'!$B$2:$B$501,MATCH(A331,'판매채널'!$A$2:$A$501,0)),""))</f>
        <v/>
      </c>
      <c r="D331" s="2">
        <f>IF(C331="","",IFERROR(INDEX('판매구성'!$B$2:$B$501,MATCH(C331,'판매구성'!$A$2:$A$501,0)),""))</f>
        <v/>
      </c>
      <c r="G331" s="3" t="n"/>
      <c r="I331" s="2">
        <f>IF(C331="","",IFERROR(INDEX('판매구성'!$C$2:$C$501,MATCH(C331,'판매구성'!$A$2:$A$501,0)),""))</f>
        <v/>
      </c>
      <c r="J331" s="4">
        <f>IF(OR(C331="",E331=""),"",IFERROR(IF(INDEX('가격표'!$D$2:$K$501,MATCH(C331,'가격표'!$A$2:$A$501,0),MATCH(E331,'가격표'!$D$1:$K$1,0))="","",INDEX('가격표'!$D$2:$K$501,MATCH(C331,'가격표'!$A$2:$A$501,0),MATCH(E331,'가격표'!$D$1:$K$1,0))),""))</f>
        <v/>
      </c>
      <c r="K331" s="4">
        <f>IF(C331="","",IFERROR(INDEX('판매구성'!$D$2:$D$501,MATCH(C331,'판매구성'!$A$2:$A$501,0)),""))</f>
        <v/>
      </c>
      <c r="L331" s="4">
        <f>IF(OR(J331="",K331=""),"",ROUND(J331-(J331-K331)*'설정'!$B$2,0))</f>
        <v/>
      </c>
      <c r="M331" s="4">
        <f>IF(OR(A331="",J331=""),"",ROUND(J331*N(IFERROR(INDEX('판매채널'!$F$2:$F$501,MATCH(A331,'판매채널'!$A$2:$A$501,0)),"")),0))</f>
        <v/>
      </c>
      <c r="N331" s="4">
        <f>IF(OR(J331="",K331=""),"",J331-M331-K331)</f>
        <v/>
      </c>
      <c r="O331" s="5">
        <f>IF(OR(J331="",J331=0),"",N331/J331)</f>
        <v/>
      </c>
    </row>
    <row r="332">
      <c r="B332" s="2">
        <f>IF(A332="","",IFERROR(INDEX('판매채널'!$B$2:$B$501,MATCH(A332,'판매채널'!$A$2:$A$501,0)),""))</f>
        <v/>
      </c>
      <c r="D332" s="2">
        <f>IF(C332="","",IFERROR(INDEX('판매구성'!$B$2:$B$501,MATCH(C332,'판매구성'!$A$2:$A$501,0)),""))</f>
        <v/>
      </c>
      <c r="G332" s="3" t="n"/>
      <c r="I332" s="2">
        <f>IF(C332="","",IFERROR(INDEX('판매구성'!$C$2:$C$501,MATCH(C332,'판매구성'!$A$2:$A$501,0)),""))</f>
        <v/>
      </c>
      <c r="J332" s="4">
        <f>IF(OR(C332="",E332=""),"",IFERROR(IF(INDEX('가격표'!$D$2:$K$501,MATCH(C332,'가격표'!$A$2:$A$501,0),MATCH(E332,'가격표'!$D$1:$K$1,0))="","",INDEX('가격표'!$D$2:$K$501,MATCH(C332,'가격표'!$A$2:$A$501,0),MATCH(E332,'가격표'!$D$1:$K$1,0))),""))</f>
        <v/>
      </c>
      <c r="K332" s="4">
        <f>IF(C332="","",IFERROR(INDEX('판매구성'!$D$2:$D$501,MATCH(C332,'판매구성'!$A$2:$A$501,0)),""))</f>
        <v/>
      </c>
      <c r="L332" s="4">
        <f>IF(OR(J332="",K332=""),"",ROUND(J332-(J332-K332)*'설정'!$B$2,0))</f>
        <v/>
      </c>
      <c r="M332" s="4">
        <f>IF(OR(A332="",J332=""),"",ROUND(J332*N(IFERROR(INDEX('판매채널'!$F$2:$F$501,MATCH(A332,'판매채널'!$A$2:$A$501,0)),"")),0))</f>
        <v/>
      </c>
      <c r="N332" s="4">
        <f>IF(OR(J332="",K332=""),"",J332-M332-K332)</f>
        <v/>
      </c>
      <c r="O332" s="5">
        <f>IF(OR(J332="",J332=0),"",N332/J332)</f>
        <v/>
      </c>
    </row>
    <row r="333">
      <c r="B333" s="2">
        <f>IF(A333="","",IFERROR(INDEX('판매채널'!$B$2:$B$501,MATCH(A333,'판매채널'!$A$2:$A$501,0)),""))</f>
        <v/>
      </c>
      <c r="D333" s="2">
        <f>IF(C333="","",IFERROR(INDEX('판매구성'!$B$2:$B$501,MATCH(C333,'판매구성'!$A$2:$A$501,0)),""))</f>
        <v/>
      </c>
      <c r="G333" s="3" t="n"/>
      <c r="I333" s="2">
        <f>IF(C333="","",IFERROR(INDEX('판매구성'!$C$2:$C$501,MATCH(C333,'판매구성'!$A$2:$A$501,0)),""))</f>
        <v/>
      </c>
      <c r="J333" s="4">
        <f>IF(OR(C333="",E333=""),"",IFERROR(IF(INDEX('가격표'!$D$2:$K$501,MATCH(C333,'가격표'!$A$2:$A$501,0),MATCH(E333,'가격표'!$D$1:$K$1,0))="","",INDEX('가격표'!$D$2:$K$501,MATCH(C333,'가격표'!$A$2:$A$501,0),MATCH(E333,'가격표'!$D$1:$K$1,0))),""))</f>
        <v/>
      </c>
      <c r="K333" s="4">
        <f>IF(C333="","",IFERROR(INDEX('판매구성'!$D$2:$D$501,MATCH(C333,'판매구성'!$A$2:$A$501,0)),""))</f>
        <v/>
      </c>
      <c r="L333" s="4">
        <f>IF(OR(J333="",K333=""),"",ROUND(J333-(J333-K333)*'설정'!$B$2,0))</f>
        <v/>
      </c>
      <c r="M333" s="4">
        <f>IF(OR(A333="",J333=""),"",ROUND(J333*N(IFERROR(INDEX('판매채널'!$F$2:$F$501,MATCH(A333,'판매채널'!$A$2:$A$501,0)),"")),0))</f>
        <v/>
      </c>
      <c r="N333" s="4">
        <f>IF(OR(J333="",K333=""),"",J333-M333-K333)</f>
        <v/>
      </c>
      <c r="O333" s="5">
        <f>IF(OR(J333="",J333=0),"",N333/J333)</f>
        <v/>
      </c>
    </row>
    <row r="334">
      <c r="B334" s="2">
        <f>IF(A334="","",IFERROR(INDEX('판매채널'!$B$2:$B$501,MATCH(A334,'판매채널'!$A$2:$A$501,0)),""))</f>
        <v/>
      </c>
      <c r="D334" s="2">
        <f>IF(C334="","",IFERROR(INDEX('판매구성'!$B$2:$B$501,MATCH(C334,'판매구성'!$A$2:$A$501,0)),""))</f>
        <v/>
      </c>
      <c r="G334" s="3" t="n"/>
      <c r="I334" s="2">
        <f>IF(C334="","",IFERROR(INDEX('판매구성'!$C$2:$C$501,MATCH(C334,'판매구성'!$A$2:$A$501,0)),""))</f>
        <v/>
      </c>
      <c r="J334" s="4">
        <f>IF(OR(C334="",E334=""),"",IFERROR(IF(INDEX('가격표'!$D$2:$K$501,MATCH(C334,'가격표'!$A$2:$A$501,0),MATCH(E334,'가격표'!$D$1:$K$1,0))="","",INDEX('가격표'!$D$2:$K$501,MATCH(C334,'가격표'!$A$2:$A$501,0),MATCH(E334,'가격표'!$D$1:$K$1,0))),""))</f>
        <v/>
      </c>
      <c r="K334" s="4">
        <f>IF(C334="","",IFERROR(INDEX('판매구성'!$D$2:$D$501,MATCH(C334,'판매구성'!$A$2:$A$501,0)),""))</f>
        <v/>
      </c>
      <c r="L334" s="4">
        <f>IF(OR(J334="",K334=""),"",ROUND(J334-(J334-K334)*'설정'!$B$2,0))</f>
        <v/>
      </c>
      <c r="M334" s="4">
        <f>IF(OR(A334="",J334=""),"",ROUND(J334*N(IFERROR(INDEX('판매채널'!$F$2:$F$501,MATCH(A334,'판매채널'!$A$2:$A$501,0)),"")),0))</f>
        <v/>
      </c>
      <c r="N334" s="4">
        <f>IF(OR(J334="",K334=""),"",J334-M334-K334)</f>
        <v/>
      </c>
      <c r="O334" s="5">
        <f>IF(OR(J334="",J334=0),"",N334/J334)</f>
        <v/>
      </c>
    </row>
    <row r="335">
      <c r="B335" s="2">
        <f>IF(A335="","",IFERROR(INDEX('판매채널'!$B$2:$B$501,MATCH(A335,'판매채널'!$A$2:$A$501,0)),""))</f>
        <v/>
      </c>
      <c r="D335" s="2">
        <f>IF(C335="","",IFERROR(INDEX('판매구성'!$B$2:$B$501,MATCH(C335,'판매구성'!$A$2:$A$501,0)),""))</f>
        <v/>
      </c>
      <c r="G335" s="3" t="n"/>
      <c r="I335" s="2">
        <f>IF(C335="","",IFERROR(INDEX('판매구성'!$C$2:$C$501,MATCH(C335,'판매구성'!$A$2:$A$501,0)),""))</f>
        <v/>
      </c>
      <c r="J335" s="4">
        <f>IF(OR(C335="",E335=""),"",IFERROR(IF(INDEX('가격표'!$D$2:$K$501,MATCH(C335,'가격표'!$A$2:$A$501,0),MATCH(E335,'가격표'!$D$1:$K$1,0))="","",INDEX('가격표'!$D$2:$K$501,MATCH(C335,'가격표'!$A$2:$A$501,0),MATCH(E335,'가격표'!$D$1:$K$1,0))),""))</f>
        <v/>
      </c>
      <c r="K335" s="4">
        <f>IF(C335="","",IFERROR(INDEX('판매구성'!$D$2:$D$501,MATCH(C335,'판매구성'!$A$2:$A$501,0)),""))</f>
        <v/>
      </c>
      <c r="L335" s="4">
        <f>IF(OR(J335="",K335=""),"",ROUND(J335-(J335-K335)*'설정'!$B$2,0))</f>
        <v/>
      </c>
      <c r="M335" s="4">
        <f>IF(OR(A335="",J335=""),"",ROUND(J335*N(IFERROR(INDEX('판매채널'!$F$2:$F$501,MATCH(A335,'판매채널'!$A$2:$A$501,0)),"")),0))</f>
        <v/>
      </c>
      <c r="N335" s="4">
        <f>IF(OR(J335="",K335=""),"",J335-M335-K335)</f>
        <v/>
      </c>
      <c r="O335" s="5">
        <f>IF(OR(J335="",J335=0),"",N335/J335)</f>
        <v/>
      </c>
    </row>
    <row r="336">
      <c r="B336" s="2">
        <f>IF(A336="","",IFERROR(INDEX('판매채널'!$B$2:$B$501,MATCH(A336,'판매채널'!$A$2:$A$501,0)),""))</f>
        <v/>
      </c>
      <c r="D336" s="2">
        <f>IF(C336="","",IFERROR(INDEX('판매구성'!$B$2:$B$501,MATCH(C336,'판매구성'!$A$2:$A$501,0)),""))</f>
        <v/>
      </c>
      <c r="G336" s="3" t="n"/>
      <c r="I336" s="2">
        <f>IF(C336="","",IFERROR(INDEX('판매구성'!$C$2:$C$501,MATCH(C336,'판매구성'!$A$2:$A$501,0)),""))</f>
        <v/>
      </c>
      <c r="J336" s="4">
        <f>IF(OR(C336="",E336=""),"",IFERROR(IF(INDEX('가격표'!$D$2:$K$501,MATCH(C336,'가격표'!$A$2:$A$501,0),MATCH(E336,'가격표'!$D$1:$K$1,0))="","",INDEX('가격표'!$D$2:$K$501,MATCH(C336,'가격표'!$A$2:$A$501,0),MATCH(E336,'가격표'!$D$1:$K$1,0))),""))</f>
        <v/>
      </c>
      <c r="K336" s="4">
        <f>IF(C336="","",IFERROR(INDEX('판매구성'!$D$2:$D$501,MATCH(C336,'판매구성'!$A$2:$A$501,0)),""))</f>
        <v/>
      </c>
      <c r="L336" s="4">
        <f>IF(OR(J336="",K336=""),"",ROUND(J336-(J336-K336)*'설정'!$B$2,0))</f>
        <v/>
      </c>
      <c r="M336" s="4">
        <f>IF(OR(A336="",J336=""),"",ROUND(J336*N(IFERROR(INDEX('판매채널'!$F$2:$F$501,MATCH(A336,'판매채널'!$A$2:$A$501,0)),"")),0))</f>
        <v/>
      </c>
      <c r="N336" s="4">
        <f>IF(OR(J336="",K336=""),"",J336-M336-K336)</f>
        <v/>
      </c>
      <c r="O336" s="5">
        <f>IF(OR(J336="",J336=0),"",N336/J336)</f>
        <v/>
      </c>
    </row>
    <row r="337">
      <c r="B337" s="2">
        <f>IF(A337="","",IFERROR(INDEX('판매채널'!$B$2:$B$501,MATCH(A337,'판매채널'!$A$2:$A$501,0)),""))</f>
        <v/>
      </c>
      <c r="D337" s="2">
        <f>IF(C337="","",IFERROR(INDEX('판매구성'!$B$2:$B$501,MATCH(C337,'판매구성'!$A$2:$A$501,0)),""))</f>
        <v/>
      </c>
      <c r="G337" s="3" t="n"/>
      <c r="I337" s="2">
        <f>IF(C337="","",IFERROR(INDEX('판매구성'!$C$2:$C$501,MATCH(C337,'판매구성'!$A$2:$A$501,0)),""))</f>
        <v/>
      </c>
      <c r="J337" s="4">
        <f>IF(OR(C337="",E337=""),"",IFERROR(IF(INDEX('가격표'!$D$2:$K$501,MATCH(C337,'가격표'!$A$2:$A$501,0),MATCH(E337,'가격표'!$D$1:$K$1,0))="","",INDEX('가격표'!$D$2:$K$501,MATCH(C337,'가격표'!$A$2:$A$501,0),MATCH(E337,'가격표'!$D$1:$K$1,0))),""))</f>
        <v/>
      </c>
      <c r="K337" s="4">
        <f>IF(C337="","",IFERROR(INDEX('판매구성'!$D$2:$D$501,MATCH(C337,'판매구성'!$A$2:$A$501,0)),""))</f>
        <v/>
      </c>
      <c r="L337" s="4">
        <f>IF(OR(J337="",K337=""),"",ROUND(J337-(J337-K337)*'설정'!$B$2,0))</f>
        <v/>
      </c>
      <c r="M337" s="4">
        <f>IF(OR(A337="",J337=""),"",ROUND(J337*N(IFERROR(INDEX('판매채널'!$F$2:$F$501,MATCH(A337,'판매채널'!$A$2:$A$501,0)),"")),0))</f>
        <v/>
      </c>
      <c r="N337" s="4">
        <f>IF(OR(J337="",K337=""),"",J337-M337-K337)</f>
        <v/>
      </c>
      <c r="O337" s="5">
        <f>IF(OR(J337="",J337=0),"",N337/J337)</f>
        <v/>
      </c>
    </row>
    <row r="338">
      <c r="B338" s="2">
        <f>IF(A338="","",IFERROR(INDEX('판매채널'!$B$2:$B$501,MATCH(A338,'판매채널'!$A$2:$A$501,0)),""))</f>
        <v/>
      </c>
      <c r="D338" s="2">
        <f>IF(C338="","",IFERROR(INDEX('판매구성'!$B$2:$B$501,MATCH(C338,'판매구성'!$A$2:$A$501,0)),""))</f>
        <v/>
      </c>
      <c r="G338" s="3" t="n"/>
      <c r="I338" s="2">
        <f>IF(C338="","",IFERROR(INDEX('판매구성'!$C$2:$C$501,MATCH(C338,'판매구성'!$A$2:$A$501,0)),""))</f>
        <v/>
      </c>
      <c r="J338" s="4">
        <f>IF(OR(C338="",E338=""),"",IFERROR(IF(INDEX('가격표'!$D$2:$K$501,MATCH(C338,'가격표'!$A$2:$A$501,0),MATCH(E338,'가격표'!$D$1:$K$1,0))="","",INDEX('가격표'!$D$2:$K$501,MATCH(C338,'가격표'!$A$2:$A$501,0),MATCH(E338,'가격표'!$D$1:$K$1,0))),""))</f>
        <v/>
      </c>
      <c r="K338" s="4">
        <f>IF(C338="","",IFERROR(INDEX('판매구성'!$D$2:$D$501,MATCH(C338,'판매구성'!$A$2:$A$501,0)),""))</f>
        <v/>
      </c>
      <c r="L338" s="4">
        <f>IF(OR(J338="",K338=""),"",ROUND(J338-(J338-K338)*'설정'!$B$2,0))</f>
        <v/>
      </c>
      <c r="M338" s="4">
        <f>IF(OR(A338="",J338=""),"",ROUND(J338*N(IFERROR(INDEX('판매채널'!$F$2:$F$501,MATCH(A338,'판매채널'!$A$2:$A$501,0)),"")),0))</f>
        <v/>
      </c>
      <c r="N338" s="4">
        <f>IF(OR(J338="",K338=""),"",J338-M338-K338)</f>
        <v/>
      </c>
      <c r="O338" s="5">
        <f>IF(OR(J338="",J338=0),"",N338/J338)</f>
        <v/>
      </c>
    </row>
    <row r="339">
      <c r="B339" s="2">
        <f>IF(A339="","",IFERROR(INDEX('판매채널'!$B$2:$B$501,MATCH(A339,'판매채널'!$A$2:$A$501,0)),""))</f>
        <v/>
      </c>
      <c r="D339" s="2">
        <f>IF(C339="","",IFERROR(INDEX('판매구성'!$B$2:$B$501,MATCH(C339,'판매구성'!$A$2:$A$501,0)),""))</f>
        <v/>
      </c>
      <c r="G339" s="3" t="n"/>
      <c r="I339" s="2">
        <f>IF(C339="","",IFERROR(INDEX('판매구성'!$C$2:$C$501,MATCH(C339,'판매구성'!$A$2:$A$501,0)),""))</f>
        <v/>
      </c>
      <c r="J339" s="4">
        <f>IF(OR(C339="",E339=""),"",IFERROR(IF(INDEX('가격표'!$D$2:$K$501,MATCH(C339,'가격표'!$A$2:$A$501,0),MATCH(E339,'가격표'!$D$1:$K$1,0))="","",INDEX('가격표'!$D$2:$K$501,MATCH(C339,'가격표'!$A$2:$A$501,0),MATCH(E339,'가격표'!$D$1:$K$1,0))),""))</f>
        <v/>
      </c>
      <c r="K339" s="4">
        <f>IF(C339="","",IFERROR(INDEX('판매구성'!$D$2:$D$501,MATCH(C339,'판매구성'!$A$2:$A$501,0)),""))</f>
        <v/>
      </c>
      <c r="L339" s="4">
        <f>IF(OR(J339="",K339=""),"",ROUND(J339-(J339-K339)*'설정'!$B$2,0))</f>
        <v/>
      </c>
      <c r="M339" s="4">
        <f>IF(OR(A339="",J339=""),"",ROUND(J339*N(IFERROR(INDEX('판매채널'!$F$2:$F$501,MATCH(A339,'판매채널'!$A$2:$A$501,0)),"")),0))</f>
        <v/>
      </c>
      <c r="N339" s="4">
        <f>IF(OR(J339="",K339=""),"",J339-M339-K339)</f>
        <v/>
      </c>
      <c r="O339" s="5">
        <f>IF(OR(J339="",J339=0),"",N339/J339)</f>
        <v/>
      </c>
    </row>
    <row r="340">
      <c r="B340" s="2">
        <f>IF(A340="","",IFERROR(INDEX('판매채널'!$B$2:$B$501,MATCH(A340,'판매채널'!$A$2:$A$501,0)),""))</f>
        <v/>
      </c>
      <c r="D340" s="2">
        <f>IF(C340="","",IFERROR(INDEX('판매구성'!$B$2:$B$501,MATCH(C340,'판매구성'!$A$2:$A$501,0)),""))</f>
        <v/>
      </c>
      <c r="G340" s="3" t="n"/>
      <c r="I340" s="2">
        <f>IF(C340="","",IFERROR(INDEX('판매구성'!$C$2:$C$501,MATCH(C340,'판매구성'!$A$2:$A$501,0)),""))</f>
        <v/>
      </c>
      <c r="J340" s="4">
        <f>IF(OR(C340="",E340=""),"",IFERROR(IF(INDEX('가격표'!$D$2:$K$501,MATCH(C340,'가격표'!$A$2:$A$501,0),MATCH(E340,'가격표'!$D$1:$K$1,0))="","",INDEX('가격표'!$D$2:$K$501,MATCH(C340,'가격표'!$A$2:$A$501,0),MATCH(E340,'가격표'!$D$1:$K$1,0))),""))</f>
        <v/>
      </c>
      <c r="K340" s="4">
        <f>IF(C340="","",IFERROR(INDEX('판매구성'!$D$2:$D$501,MATCH(C340,'판매구성'!$A$2:$A$501,0)),""))</f>
        <v/>
      </c>
      <c r="L340" s="4">
        <f>IF(OR(J340="",K340=""),"",ROUND(J340-(J340-K340)*'설정'!$B$2,0))</f>
        <v/>
      </c>
      <c r="M340" s="4">
        <f>IF(OR(A340="",J340=""),"",ROUND(J340*N(IFERROR(INDEX('판매채널'!$F$2:$F$501,MATCH(A340,'판매채널'!$A$2:$A$501,0)),"")),0))</f>
        <v/>
      </c>
      <c r="N340" s="4">
        <f>IF(OR(J340="",K340=""),"",J340-M340-K340)</f>
        <v/>
      </c>
      <c r="O340" s="5">
        <f>IF(OR(J340="",J340=0),"",N340/J340)</f>
        <v/>
      </c>
    </row>
    <row r="341">
      <c r="B341" s="2">
        <f>IF(A341="","",IFERROR(INDEX('판매채널'!$B$2:$B$501,MATCH(A341,'판매채널'!$A$2:$A$501,0)),""))</f>
        <v/>
      </c>
      <c r="D341" s="2">
        <f>IF(C341="","",IFERROR(INDEX('판매구성'!$B$2:$B$501,MATCH(C341,'판매구성'!$A$2:$A$501,0)),""))</f>
        <v/>
      </c>
      <c r="G341" s="3" t="n"/>
      <c r="I341" s="2">
        <f>IF(C341="","",IFERROR(INDEX('판매구성'!$C$2:$C$501,MATCH(C341,'판매구성'!$A$2:$A$501,0)),""))</f>
        <v/>
      </c>
      <c r="J341" s="4">
        <f>IF(OR(C341="",E341=""),"",IFERROR(IF(INDEX('가격표'!$D$2:$K$501,MATCH(C341,'가격표'!$A$2:$A$501,0),MATCH(E341,'가격표'!$D$1:$K$1,0))="","",INDEX('가격표'!$D$2:$K$501,MATCH(C341,'가격표'!$A$2:$A$501,0),MATCH(E341,'가격표'!$D$1:$K$1,0))),""))</f>
        <v/>
      </c>
      <c r="K341" s="4">
        <f>IF(C341="","",IFERROR(INDEX('판매구성'!$D$2:$D$501,MATCH(C341,'판매구성'!$A$2:$A$501,0)),""))</f>
        <v/>
      </c>
      <c r="L341" s="4">
        <f>IF(OR(J341="",K341=""),"",ROUND(J341-(J341-K341)*'설정'!$B$2,0))</f>
        <v/>
      </c>
      <c r="M341" s="4">
        <f>IF(OR(A341="",J341=""),"",ROUND(J341*N(IFERROR(INDEX('판매채널'!$F$2:$F$501,MATCH(A341,'판매채널'!$A$2:$A$501,0)),"")),0))</f>
        <v/>
      </c>
      <c r="N341" s="4">
        <f>IF(OR(J341="",K341=""),"",J341-M341-K341)</f>
        <v/>
      </c>
      <c r="O341" s="5">
        <f>IF(OR(J341="",J341=0),"",N341/J341)</f>
        <v/>
      </c>
    </row>
    <row r="342">
      <c r="B342" s="2">
        <f>IF(A342="","",IFERROR(INDEX('판매채널'!$B$2:$B$501,MATCH(A342,'판매채널'!$A$2:$A$501,0)),""))</f>
        <v/>
      </c>
      <c r="D342" s="2">
        <f>IF(C342="","",IFERROR(INDEX('판매구성'!$B$2:$B$501,MATCH(C342,'판매구성'!$A$2:$A$501,0)),""))</f>
        <v/>
      </c>
      <c r="G342" s="3" t="n"/>
      <c r="I342" s="2">
        <f>IF(C342="","",IFERROR(INDEX('판매구성'!$C$2:$C$501,MATCH(C342,'판매구성'!$A$2:$A$501,0)),""))</f>
        <v/>
      </c>
      <c r="J342" s="4">
        <f>IF(OR(C342="",E342=""),"",IFERROR(IF(INDEX('가격표'!$D$2:$K$501,MATCH(C342,'가격표'!$A$2:$A$501,0),MATCH(E342,'가격표'!$D$1:$K$1,0))="","",INDEX('가격표'!$D$2:$K$501,MATCH(C342,'가격표'!$A$2:$A$501,0),MATCH(E342,'가격표'!$D$1:$K$1,0))),""))</f>
        <v/>
      </c>
      <c r="K342" s="4">
        <f>IF(C342="","",IFERROR(INDEX('판매구성'!$D$2:$D$501,MATCH(C342,'판매구성'!$A$2:$A$501,0)),""))</f>
        <v/>
      </c>
      <c r="L342" s="4">
        <f>IF(OR(J342="",K342=""),"",ROUND(J342-(J342-K342)*'설정'!$B$2,0))</f>
        <v/>
      </c>
      <c r="M342" s="4">
        <f>IF(OR(A342="",J342=""),"",ROUND(J342*N(IFERROR(INDEX('판매채널'!$F$2:$F$501,MATCH(A342,'판매채널'!$A$2:$A$501,0)),"")),0))</f>
        <v/>
      </c>
      <c r="N342" s="4">
        <f>IF(OR(J342="",K342=""),"",J342-M342-K342)</f>
        <v/>
      </c>
      <c r="O342" s="5">
        <f>IF(OR(J342="",J342=0),"",N342/J342)</f>
        <v/>
      </c>
    </row>
    <row r="343">
      <c r="B343" s="2">
        <f>IF(A343="","",IFERROR(INDEX('판매채널'!$B$2:$B$501,MATCH(A343,'판매채널'!$A$2:$A$501,0)),""))</f>
        <v/>
      </c>
      <c r="D343" s="2">
        <f>IF(C343="","",IFERROR(INDEX('판매구성'!$B$2:$B$501,MATCH(C343,'판매구성'!$A$2:$A$501,0)),""))</f>
        <v/>
      </c>
      <c r="G343" s="3" t="n"/>
      <c r="I343" s="2">
        <f>IF(C343="","",IFERROR(INDEX('판매구성'!$C$2:$C$501,MATCH(C343,'판매구성'!$A$2:$A$501,0)),""))</f>
        <v/>
      </c>
      <c r="J343" s="4">
        <f>IF(OR(C343="",E343=""),"",IFERROR(IF(INDEX('가격표'!$D$2:$K$501,MATCH(C343,'가격표'!$A$2:$A$501,0),MATCH(E343,'가격표'!$D$1:$K$1,0))="","",INDEX('가격표'!$D$2:$K$501,MATCH(C343,'가격표'!$A$2:$A$501,0),MATCH(E343,'가격표'!$D$1:$K$1,0))),""))</f>
        <v/>
      </c>
      <c r="K343" s="4">
        <f>IF(C343="","",IFERROR(INDEX('판매구성'!$D$2:$D$501,MATCH(C343,'판매구성'!$A$2:$A$501,0)),""))</f>
        <v/>
      </c>
      <c r="L343" s="4">
        <f>IF(OR(J343="",K343=""),"",ROUND(J343-(J343-K343)*'설정'!$B$2,0))</f>
        <v/>
      </c>
      <c r="M343" s="4">
        <f>IF(OR(A343="",J343=""),"",ROUND(J343*N(IFERROR(INDEX('판매채널'!$F$2:$F$501,MATCH(A343,'판매채널'!$A$2:$A$501,0)),"")),0))</f>
        <v/>
      </c>
      <c r="N343" s="4">
        <f>IF(OR(J343="",K343=""),"",J343-M343-K343)</f>
        <v/>
      </c>
      <c r="O343" s="5">
        <f>IF(OR(J343="",J343=0),"",N343/J343)</f>
        <v/>
      </c>
    </row>
    <row r="344">
      <c r="B344" s="2">
        <f>IF(A344="","",IFERROR(INDEX('판매채널'!$B$2:$B$501,MATCH(A344,'판매채널'!$A$2:$A$501,0)),""))</f>
        <v/>
      </c>
      <c r="D344" s="2">
        <f>IF(C344="","",IFERROR(INDEX('판매구성'!$B$2:$B$501,MATCH(C344,'판매구성'!$A$2:$A$501,0)),""))</f>
        <v/>
      </c>
      <c r="G344" s="3" t="n"/>
      <c r="I344" s="2">
        <f>IF(C344="","",IFERROR(INDEX('판매구성'!$C$2:$C$501,MATCH(C344,'판매구성'!$A$2:$A$501,0)),""))</f>
        <v/>
      </c>
      <c r="J344" s="4">
        <f>IF(OR(C344="",E344=""),"",IFERROR(IF(INDEX('가격표'!$D$2:$K$501,MATCH(C344,'가격표'!$A$2:$A$501,0),MATCH(E344,'가격표'!$D$1:$K$1,0))="","",INDEX('가격표'!$D$2:$K$501,MATCH(C344,'가격표'!$A$2:$A$501,0),MATCH(E344,'가격표'!$D$1:$K$1,0))),""))</f>
        <v/>
      </c>
      <c r="K344" s="4">
        <f>IF(C344="","",IFERROR(INDEX('판매구성'!$D$2:$D$501,MATCH(C344,'판매구성'!$A$2:$A$501,0)),""))</f>
        <v/>
      </c>
      <c r="L344" s="4">
        <f>IF(OR(J344="",K344=""),"",ROUND(J344-(J344-K344)*'설정'!$B$2,0))</f>
        <v/>
      </c>
      <c r="M344" s="4">
        <f>IF(OR(A344="",J344=""),"",ROUND(J344*N(IFERROR(INDEX('판매채널'!$F$2:$F$501,MATCH(A344,'판매채널'!$A$2:$A$501,0)),"")),0))</f>
        <v/>
      </c>
      <c r="N344" s="4">
        <f>IF(OR(J344="",K344=""),"",J344-M344-K344)</f>
        <v/>
      </c>
      <c r="O344" s="5">
        <f>IF(OR(J344="",J344=0),"",N344/J344)</f>
        <v/>
      </c>
    </row>
    <row r="345">
      <c r="B345" s="2">
        <f>IF(A345="","",IFERROR(INDEX('판매채널'!$B$2:$B$501,MATCH(A345,'판매채널'!$A$2:$A$501,0)),""))</f>
        <v/>
      </c>
      <c r="D345" s="2">
        <f>IF(C345="","",IFERROR(INDEX('판매구성'!$B$2:$B$501,MATCH(C345,'판매구성'!$A$2:$A$501,0)),""))</f>
        <v/>
      </c>
      <c r="G345" s="3" t="n"/>
      <c r="I345" s="2">
        <f>IF(C345="","",IFERROR(INDEX('판매구성'!$C$2:$C$501,MATCH(C345,'판매구성'!$A$2:$A$501,0)),""))</f>
        <v/>
      </c>
      <c r="J345" s="4">
        <f>IF(OR(C345="",E345=""),"",IFERROR(IF(INDEX('가격표'!$D$2:$K$501,MATCH(C345,'가격표'!$A$2:$A$501,0),MATCH(E345,'가격표'!$D$1:$K$1,0))="","",INDEX('가격표'!$D$2:$K$501,MATCH(C345,'가격표'!$A$2:$A$501,0),MATCH(E345,'가격표'!$D$1:$K$1,0))),""))</f>
        <v/>
      </c>
      <c r="K345" s="4">
        <f>IF(C345="","",IFERROR(INDEX('판매구성'!$D$2:$D$501,MATCH(C345,'판매구성'!$A$2:$A$501,0)),""))</f>
        <v/>
      </c>
      <c r="L345" s="4">
        <f>IF(OR(J345="",K345=""),"",ROUND(J345-(J345-K345)*'설정'!$B$2,0))</f>
        <v/>
      </c>
      <c r="M345" s="4">
        <f>IF(OR(A345="",J345=""),"",ROUND(J345*N(IFERROR(INDEX('판매채널'!$F$2:$F$501,MATCH(A345,'판매채널'!$A$2:$A$501,0)),"")),0))</f>
        <v/>
      </c>
      <c r="N345" s="4">
        <f>IF(OR(J345="",K345=""),"",J345-M345-K345)</f>
        <v/>
      </c>
      <c r="O345" s="5">
        <f>IF(OR(J345="",J345=0),"",N345/J345)</f>
        <v/>
      </c>
    </row>
    <row r="346">
      <c r="B346" s="2">
        <f>IF(A346="","",IFERROR(INDEX('판매채널'!$B$2:$B$501,MATCH(A346,'판매채널'!$A$2:$A$501,0)),""))</f>
        <v/>
      </c>
      <c r="D346" s="2">
        <f>IF(C346="","",IFERROR(INDEX('판매구성'!$B$2:$B$501,MATCH(C346,'판매구성'!$A$2:$A$501,0)),""))</f>
        <v/>
      </c>
      <c r="G346" s="3" t="n"/>
      <c r="I346" s="2">
        <f>IF(C346="","",IFERROR(INDEX('판매구성'!$C$2:$C$501,MATCH(C346,'판매구성'!$A$2:$A$501,0)),""))</f>
        <v/>
      </c>
      <c r="J346" s="4">
        <f>IF(OR(C346="",E346=""),"",IFERROR(IF(INDEX('가격표'!$D$2:$K$501,MATCH(C346,'가격표'!$A$2:$A$501,0),MATCH(E346,'가격표'!$D$1:$K$1,0))="","",INDEX('가격표'!$D$2:$K$501,MATCH(C346,'가격표'!$A$2:$A$501,0),MATCH(E346,'가격표'!$D$1:$K$1,0))),""))</f>
        <v/>
      </c>
      <c r="K346" s="4">
        <f>IF(C346="","",IFERROR(INDEX('판매구성'!$D$2:$D$501,MATCH(C346,'판매구성'!$A$2:$A$501,0)),""))</f>
        <v/>
      </c>
      <c r="L346" s="4">
        <f>IF(OR(J346="",K346=""),"",ROUND(J346-(J346-K346)*'설정'!$B$2,0))</f>
        <v/>
      </c>
      <c r="M346" s="4">
        <f>IF(OR(A346="",J346=""),"",ROUND(J346*N(IFERROR(INDEX('판매채널'!$F$2:$F$501,MATCH(A346,'판매채널'!$A$2:$A$501,0)),"")),0))</f>
        <v/>
      </c>
      <c r="N346" s="4">
        <f>IF(OR(J346="",K346=""),"",J346-M346-K346)</f>
        <v/>
      </c>
      <c r="O346" s="5">
        <f>IF(OR(J346="",J346=0),"",N346/J346)</f>
        <v/>
      </c>
    </row>
    <row r="347">
      <c r="B347" s="2">
        <f>IF(A347="","",IFERROR(INDEX('판매채널'!$B$2:$B$501,MATCH(A347,'판매채널'!$A$2:$A$501,0)),""))</f>
        <v/>
      </c>
      <c r="D347" s="2">
        <f>IF(C347="","",IFERROR(INDEX('판매구성'!$B$2:$B$501,MATCH(C347,'판매구성'!$A$2:$A$501,0)),""))</f>
        <v/>
      </c>
      <c r="G347" s="3" t="n"/>
      <c r="I347" s="2">
        <f>IF(C347="","",IFERROR(INDEX('판매구성'!$C$2:$C$501,MATCH(C347,'판매구성'!$A$2:$A$501,0)),""))</f>
        <v/>
      </c>
      <c r="J347" s="4">
        <f>IF(OR(C347="",E347=""),"",IFERROR(IF(INDEX('가격표'!$D$2:$K$501,MATCH(C347,'가격표'!$A$2:$A$501,0),MATCH(E347,'가격표'!$D$1:$K$1,0))="","",INDEX('가격표'!$D$2:$K$501,MATCH(C347,'가격표'!$A$2:$A$501,0),MATCH(E347,'가격표'!$D$1:$K$1,0))),""))</f>
        <v/>
      </c>
      <c r="K347" s="4">
        <f>IF(C347="","",IFERROR(INDEX('판매구성'!$D$2:$D$501,MATCH(C347,'판매구성'!$A$2:$A$501,0)),""))</f>
        <v/>
      </c>
      <c r="L347" s="4">
        <f>IF(OR(J347="",K347=""),"",ROUND(J347-(J347-K347)*'설정'!$B$2,0))</f>
        <v/>
      </c>
      <c r="M347" s="4">
        <f>IF(OR(A347="",J347=""),"",ROUND(J347*N(IFERROR(INDEX('판매채널'!$F$2:$F$501,MATCH(A347,'판매채널'!$A$2:$A$501,0)),"")),0))</f>
        <v/>
      </c>
      <c r="N347" s="4">
        <f>IF(OR(J347="",K347=""),"",J347-M347-K347)</f>
        <v/>
      </c>
      <c r="O347" s="5">
        <f>IF(OR(J347="",J347=0),"",N347/J347)</f>
        <v/>
      </c>
    </row>
    <row r="348">
      <c r="B348" s="2">
        <f>IF(A348="","",IFERROR(INDEX('판매채널'!$B$2:$B$501,MATCH(A348,'판매채널'!$A$2:$A$501,0)),""))</f>
        <v/>
      </c>
      <c r="D348" s="2">
        <f>IF(C348="","",IFERROR(INDEX('판매구성'!$B$2:$B$501,MATCH(C348,'판매구성'!$A$2:$A$501,0)),""))</f>
        <v/>
      </c>
      <c r="G348" s="3" t="n"/>
      <c r="I348" s="2">
        <f>IF(C348="","",IFERROR(INDEX('판매구성'!$C$2:$C$501,MATCH(C348,'판매구성'!$A$2:$A$501,0)),""))</f>
        <v/>
      </c>
      <c r="J348" s="4">
        <f>IF(OR(C348="",E348=""),"",IFERROR(IF(INDEX('가격표'!$D$2:$K$501,MATCH(C348,'가격표'!$A$2:$A$501,0),MATCH(E348,'가격표'!$D$1:$K$1,0))="","",INDEX('가격표'!$D$2:$K$501,MATCH(C348,'가격표'!$A$2:$A$501,0),MATCH(E348,'가격표'!$D$1:$K$1,0))),""))</f>
        <v/>
      </c>
      <c r="K348" s="4">
        <f>IF(C348="","",IFERROR(INDEX('판매구성'!$D$2:$D$501,MATCH(C348,'판매구성'!$A$2:$A$501,0)),""))</f>
        <v/>
      </c>
      <c r="L348" s="4">
        <f>IF(OR(J348="",K348=""),"",ROUND(J348-(J348-K348)*'설정'!$B$2,0))</f>
        <v/>
      </c>
      <c r="M348" s="4">
        <f>IF(OR(A348="",J348=""),"",ROUND(J348*N(IFERROR(INDEX('판매채널'!$F$2:$F$501,MATCH(A348,'판매채널'!$A$2:$A$501,0)),"")),0))</f>
        <v/>
      </c>
      <c r="N348" s="4">
        <f>IF(OR(J348="",K348=""),"",J348-M348-K348)</f>
        <v/>
      </c>
      <c r="O348" s="5">
        <f>IF(OR(J348="",J348=0),"",N348/J348)</f>
        <v/>
      </c>
    </row>
    <row r="349">
      <c r="B349" s="2">
        <f>IF(A349="","",IFERROR(INDEX('판매채널'!$B$2:$B$501,MATCH(A349,'판매채널'!$A$2:$A$501,0)),""))</f>
        <v/>
      </c>
      <c r="D349" s="2">
        <f>IF(C349="","",IFERROR(INDEX('판매구성'!$B$2:$B$501,MATCH(C349,'판매구성'!$A$2:$A$501,0)),""))</f>
        <v/>
      </c>
      <c r="G349" s="3" t="n"/>
      <c r="I349" s="2">
        <f>IF(C349="","",IFERROR(INDEX('판매구성'!$C$2:$C$501,MATCH(C349,'판매구성'!$A$2:$A$501,0)),""))</f>
        <v/>
      </c>
      <c r="J349" s="4">
        <f>IF(OR(C349="",E349=""),"",IFERROR(IF(INDEX('가격표'!$D$2:$K$501,MATCH(C349,'가격표'!$A$2:$A$501,0),MATCH(E349,'가격표'!$D$1:$K$1,0))="","",INDEX('가격표'!$D$2:$K$501,MATCH(C349,'가격표'!$A$2:$A$501,0),MATCH(E349,'가격표'!$D$1:$K$1,0))),""))</f>
        <v/>
      </c>
      <c r="K349" s="4">
        <f>IF(C349="","",IFERROR(INDEX('판매구성'!$D$2:$D$501,MATCH(C349,'판매구성'!$A$2:$A$501,0)),""))</f>
        <v/>
      </c>
      <c r="L349" s="4">
        <f>IF(OR(J349="",K349=""),"",ROUND(J349-(J349-K349)*'설정'!$B$2,0))</f>
        <v/>
      </c>
      <c r="M349" s="4">
        <f>IF(OR(A349="",J349=""),"",ROUND(J349*N(IFERROR(INDEX('판매채널'!$F$2:$F$501,MATCH(A349,'판매채널'!$A$2:$A$501,0)),"")),0))</f>
        <v/>
      </c>
      <c r="N349" s="4">
        <f>IF(OR(J349="",K349=""),"",J349-M349-K349)</f>
        <v/>
      </c>
      <c r="O349" s="5">
        <f>IF(OR(J349="",J349=0),"",N349/J349)</f>
        <v/>
      </c>
    </row>
    <row r="350">
      <c r="B350" s="2">
        <f>IF(A350="","",IFERROR(INDEX('판매채널'!$B$2:$B$501,MATCH(A350,'판매채널'!$A$2:$A$501,0)),""))</f>
        <v/>
      </c>
      <c r="D350" s="2">
        <f>IF(C350="","",IFERROR(INDEX('판매구성'!$B$2:$B$501,MATCH(C350,'판매구성'!$A$2:$A$501,0)),""))</f>
        <v/>
      </c>
      <c r="G350" s="3" t="n"/>
      <c r="I350" s="2">
        <f>IF(C350="","",IFERROR(INDEX('판매구성'!$C$2:$C$501,MATCH(C350,'판매구성'!$A$2:$A$501,0)),""))</f>
        <v/>
      </c>
      <c r="J350" s="4">
        <f>IF(OR(C350="",E350=""),"",IFERROR(IF(INDEX('가격표'!$D$2:$K$501,MATCH(C350,'가격표'!$A$2:$A$501,0),MATCH(E350,'가격표'!$D$1:$K$1,0))="","",INDEX('가격표'!$D$2:$K$501,MATCH(C350,'가격표'!$A$2:$A$501,0),MATCH(E350,'가격표'!$D$1:$K$1,0))),""))</f>
        <v/>
      </c>
      <c r="K350" s="4">
        <f>IF(C350="","",IFERROR(INDEX('판매구성'!$D$2:$D$501,MATCH(C350,'판매구성'!$A$2:$A$501,0)),""))</f>
        <v/>
      </c>
      <c r="L350" s="4">
        <f>IF(OR(J350="",K350=""),"",ROUND(J350-(J350-K350)*'설정'!$B$2,0))</f>
        <v/>
      </c>
      <c r="M350" s="4">
        <f>IF(OR(A350="",J350=""),"",ROUND(J350*N(IFERROR(INDEX('판매채널'!$F$2:$F$501,MATCH(A350,'판매채널'!$A$2:$A$501,0)),"")),0))</f>
        <v/>
      </c>
      <c r="N350" s="4">
        <f>IF(OR(J350="",K350=""),"",J350-M350-K350)</f>
        <v/>
      </c>
      <c r="O350" s="5">
        <f>IF(OR(J350="",J350=0),"",N350/J350)</f>
        <v/>
      </c>
    </row>
    <row r="351">
      <c r="B351" s="2">
        <f>IF(A351="","",IFERROR(INDEX('판매채널'!$B$2:$B$501,MATCH(A351,'판매채널'!$A$2:$A$501,0)),""))</f>
        <v/>
      </c>
      <c r="D351" s="2">
        <f>IF(C351="","",IFERROR(INDEX('판매구성'!$B$2:$B$501,MATCH(C351,'판매구성'!$A$2:$A$501,0)),""))</f>
        <v/>
      </c>
      <c r="G351" s="3" t="n"/>
      <c r="I351" s="2">
        <f>IF(C351="","",IFERROR(INDEX('판매구성'!$C$2:$C$501,MATCH(C351,'판매구성'!$A$2:$A$501,0)),""))</f>
        <v/>
      </c>
      <c r="J351" s="4">
        <f>IF(OR(C351="",E351=""),"",IFERROR(IF(INDEX('가격표'!$D$2:$K$501,MATCH(C351,'가격표'!$A$2:$A$501,0),MATCH(E351,'가격표'!$D$1:$K$1,0))="","",INDEX('가격표'!$D$2:$K$501,MATCH(C351,'가격표'!$A$2:$A$501,0),MATCH(E351,'가격표'!$D$1:$K$1,0))),""))</f>
        <v/>
      </c>
      <c r="K351" s="4">
        <f>IF(C351="","",IFERROR(INDEX('판매구성'!$D$2:$D$501,MATCH(C351,'판매구성'!$A$2:$A$501,0)),""))</f>
        <v/>
      </c>
      <c r="L351" s="4">
        <f>IF(OR(J351="",K351=""),"",ROUND(J351-(J351-K351)*'설정'!$B$2,0))</f>
        <v/>
      </c>
      <c r="M351" s="4">
        <f>IF(OR(A351="",J351=""),"",ROUND(J351*N(IFERROR(INDEX('판매채널'!$F$2:$F$501,MATCH(A351,'판매채널'!$A$2:$A$501,0)),"")),0))</f>
        <v/>
      </c>
      <c r="N351" s="4">
        <f>IF(OR(J351="",K351=""),"",J351-M351-K351)</f>
        <v/>
      </c>
      <c r="O351" s="5">
        <f>IF(OR(J351="",J351=0),"",N351/J351)</f>
        <v/>
      </c>
    </row>
    <row r="352">
      <c r="B352" s="2">
        <f>IF(A352="","",IFERROR(INDEX('판매채널'!$B$2:$B$501,MATCH(A352,'판매채널'!$A$2:$A$501,0)),""))</f>
        <v/>
      </c>
      <c r="D352" s="2">
        <f>IF(C352="","",IFERROR(INDEX('판매구성'!$B$2:$B$501,MATCH(C352,'판매구성'!$A$2:$A$501,0)),""))</f>
        <v/>
      </c>
      <c r="G352" s="3" t="n"/>
      <c r="I352" s="2">
        <f>IF(C352="","",IFERROR(INDEX('판매구성'!$C$2:$C$501,MATCH(C352,'판매구성'!$A$2:$A$501,0)),""))</f>
        <v/>
      </c>
      <c r="J352" s="4">
        <f>IF(OR(C352="",E352=""),"",IFERROR(IF(INDEX('가격표'!$D$2:$K$501,MATCH(C352,'가격표'!$A$2:$A$501,0),MATCH(E352,'가격표'!$D$1:$K$1,0))="","",INDEX('가격표'!$D$2:$K$501,MATCH(C352,'가격표'!$A$2:$A$501,0),MATCH(E352,'가격표'!$D$1:$K$1,0))),""))</f>
        <v/>
      </c>
      <c r="K352" s="4">
        <f>IF(C352="","",IFERROR(INDEX('판매구성'!$D$2:$D$501,MATCH(C352,'판매구성'!$A$2:$A$501,0)),""))</f>
        <v/>
      </c>
      <c r="L352" s="4">
        <f>IF(OR(J352="",K352=""),"",ROUND(J352-(J352-K352)*'설정'!$B$2,0))</f>
        <v/>
      </c>
      <c r="M352" s="4">
        <f>IF(OR(A352="",J352=""),"",ROUND(J352*N(IFERROR(INDEX('판매채널'!$F$2:$F$501,MATCH(A352,'판매채널'!$A$2:$A$501,0)),"")),0))</f>
        <v/>
      </c>
      <c r="N352" s="4">
        <f>IF(OR(J352="",K352=""),"",J352-M352-K352)</f>
        <v/>
      </c>
      <c r="O352" s="5">
        <f>IF(OR(J352="",J352=0),"",N352/J352)</f>
        <v/>
      </c>
    </row>
    <row r="353">
      <c r="B353" s="2">
        <f>IF(A353="","",IFERROR(INDEX('판매채널'!$B$2:$B$501,MATCH(A353,'판매채널'!$A$2:$A$501,0)),""))</f>
        <v/>
      </c>
      <c r="D353" s="2">
        <f>IF(C353="","",IFERROR(INDEX('판매구성'!$B$2:$B$501,MATCH(C353,'판매구성'!$A$2:$A$501,0)),""))</f>
        <v/>
      </c>
      <c r="G353" s="3" t="n"/>
      <c r="I353" s="2">
        <f>IF(C353="","",IFERROR(INDEX('판매구성'!$C$2:$C$501,MATCH(C353,'판매구성'!$A$2:$A$501,0)),""))</f>
        <v/>
      </c>
      <c r="J353" s="4">
        <f>IF(OR(C353="",E353=""),"",IFERROR(IF(INDEX('가격표'!$D$2:$K$501,MATCH(C353,'가격표'!$A$2:$A$501,0),MATCH(E353,'가격표'!$D$1:$K$1,0))="","",INDEX('가격표'!$D$2:$K$501,MATCH(C353,'가격표'!$A$2:$A$501,0),MATCH(E353,'가격표'!$D$1:$K$1,0))),""))</f>
        <v/>
      </c>
      <c r="K353" s="4">
        <f>IF(C353="","",IFERROR(INDEX('판매구성'!$D$2:$D$501,MATCH(C353,'판매구성'!$A$2:$A$501,0)),""))</f>
        <v/>
      </c>
      <c r="L353" s="4">
        <f>IF(OR(J353="",K353=""),"",ROUND(J353-(J353-K353)*'설정'!$B$2,0))</f>
        <v/>
      </c>
      <c r="M353" s="4">
        <f>IF(OR(A353="",J353=""),"",ROUND(J353*N(IFERROR(INDEX('판매채널'!$F$2:$F$501,MATCH(A353,'판매채널'!$A$2:$A$501,0)),"")),0))</f>
        <v/>
      </c>
      <c r="N353" s="4">
        <f>IF(OR(J353="",K353=""),"",J353-M353-K353)</f>
        <v/>
      </c>
      <c r="O353" s="5">
        <f>IF(OR(J353="",J353=0),"",N353/J353)</f>
        <v/>
      </c>
    </row>
    <row r="354">
      <c r="B354" s="2">
        <f>IF(A354="","",IFERROR(INDEX('판매채널'!$B$2:$B$501,MATCH(A354,'판매채널'!$A$2:$A$501,0)),""))</f>
        <v/>
      </c>
      <c r="D354" s="2">
        <f>IF(C354="","",IFERROR(INDEX('판매구성'!$B$2:$B$501,MATCH(C354,'판매구성'!$A$2:$A$501,0)),""))</f>
        <v/>
      </c>
      <c r="G354" s="3" t="n"/>
      <c r="I354" s="2">
        <f>IF(C354="","",IFERROR(INDEX('판매구성'!$C$2:$C$501,MATCH(C354,'판매구성'!$A$2:$A$501,0)),""))</f>
        <v/>
      </c>
      <c r="J354" s="4">
        <f>IF(OR(C354="",E354=""),"",IFERROR(IF(INDEX('가격표'!$D$2:$K$501,MATCH(C354,'가격표'!$A$2:$A$501,0),MATCH(E354,'가격표'!$D$1:$K$1,0))="","",INDEX('가격표'!$D$2:$K$501,MATCH(C354,'가격표'!$A$2:$A$501,0),MATCH(E354,'가격표'!$D$1:$K$1,0))),""))</f>
        <v/>
      </c>
      <c r="K354" s="4">
        <f>IF(C354="","",IFERROR(INDEX('판매구성'!$D$2:$D$501,MATCH(C354,'판매구성'!$A$2:$A$501,0)),""))</f>
        <v/>
      </c>
      <c r="L354" s="4">
        <f>IF(OR(J354="",K354=""),"",ROUND(J354-(J354-K354)*'설정'!$B$2,0))</f>
        <v/>
      </c>
      <c r="M354" s="4">
        <f>IF(OR(A354="",J354=""),"",ROUND(J354*N(IFERROR(INDEX('판매채널'!$F$2:$F$501,MATCH(A354,'판매채널'!$A$2:$A$501,0)),"")),0))</f>
        <v/>
      </c>
      <c r="N354" s="4">
        <f>IF(OR(J354="",K354=""),"",J354-M354-K354)</f>
        <v/>
      </c>
      <c r="O354" s="5">
        <f>IF(OR(J354="",J354=0),"",N354/J354)</f>
        <v/>
      </c>
    </row>
    <row r="355">
      <c r="B355" s="2">
        <f>IF(A355="","",IFERROR(INDEX('판매채널'!$B$2:$B$501,MATCH(A355,'판매채널'!$A$2:$A$501,0)),""))</f>
        <v/>
      </c>
      <c r="D355" s="2">
        <f>IF(C355="","",IFERROR(INDEX('판매구성'!$B$2:$B$501,MATCH(C355,'판매구성'!$A$2:$A$501,0)),""))</f>
        <v/>
      </c>
      <c r="G355" s="3" t="n"/>
      <c r="I355" s="2">
        <f>IF(C355="","",IFERROR(INDEX('판매구성'!$C$2:$C$501,MATCH(C355,'판매구성'!$A$2:$A$501,0)),""))</f>
        <v/>
      </c>
      <c r="J355" s="4">
        <f>IF(OR(C355="",E355=""),"",IFERROR(IF(INDEX('가격표'!$D$2:$K$501,MATCH(C355,'가격표'!$A$2:$A$501,0),MATCH(E355,'가격표'!$D$1:$K$1,0))="","",INDEX('가격표'!$D$2:$K$501,MATCH(C355,'가격표'!$A$2:$A$501,0),MATCH(E355,'가격표'!$D$1:$K$1,0))),""))</f>
        <v/>
      </c>
      <c r="K355" s="4">
        <f>IF(C355="","",IFERROR(INDEX('판매구성'!$D$2:$D$501,MATCH(C355,'판매구성'!$A$2:$A$501,0)),""))</f>
        <v/>
      </c>
      <c r="L355" s="4">
        <f>IF(OR(J355="",K355=""),"",ROUND(J355-(J355-K355)*'설정'!$B$2,0))</f>
        <v/>
      </c>
      <c r="M355" s="4">
        <f>IF(OR(A355="",J355=""),"",ROUND(J355*N(IFERROR(INDEX('판매채널'!$F$2:$F$501,MATCH(A355,'판매채널'!$A$2:$A$501,0)),"")),0))</f>
        <v/>
      </c>
      <c r="N355" s="4">
        <f>IF(OR(J355="",K355=""),"",J355-M355-K355)</f>
        <v/>
      </c>
      <c r="O355" s="5">
        <f>IF(OR(J355="",J355=0),"",N355/J355)</f>
        <v/>
      </c>
    </row>
    <row r="356">
      <c r="B356" s="2">
        <f>IF(A356="","",IFERROR(INDEX('판매채널'!$B$2:$B$501,MATCH(A356,'판매채널'!$A$2:$A$501,0)),""))</f>
        <v/>
      </c>
      <c r="D356" s="2">
        <f>IF(C356="","",IFERROR(INDEX('판매구성'!$B$2:$B$501,MATCH(C356,'판매구성'!$A$2:$A$501,0)),""))</f>
        <v/>
      </c>
      <c r="G356" s="3" t="n"/>
      <c r="I356" s="2">
        <f>IF(C356="","",IFERROR(INDEX('판매구성'!$C$2:$C$501,MATCH(C356,'판매구성'!$A$2:$A$501,0)),""))</f>
        <v/>
      </c>
      <c r="J356" s="4">
        <f>IF(OR(C356="",E356=""),"",IFERROR(IF(INDEX('가격표'!$D$2:$K$501,MATCH(C356,'가격표'!$A$2:$A$501,0),MATCH(E356,'가격표'!$D$1:$K$1,0))="","",INDEX('가격표'!$D$2:$K$501,MATCH(C356,'가격표'!$A$2:$A$501,0),MATCH(E356,'가격표'!$D$1:$K$1,0))),""))</f>
        <v/>
      </c>
      <c r="K356" s="4">
        <f>IF(C356="","",IFERROR(INDEX('판매구성'!$D$2:$D$501,MATCH(C356,'판매구성'!$A$2:$A$501,0)),""))</f>
        <v/>
      </c>
      <c r="L356" s="4">
        <f>IF(OR(J356="",K356=""),"",ROUND(J356-(J356-K356)*'설정'!$B$2,0))</f>
        <v/>
      </c>
      <c r="M356" s="4">
        <f>IF(OR(A356="",J356=""),"",ROUND(J356*N(IFERROR(INDEX('판매채널'!$F$2:$F$501,MATCH(A356,'판매채널'!$A$2:$A$501,0)),"")),0))</f>
        <v/>
      </c>
      <c r="N356" s="4">
        <f>IF(OR(J356="",K356=""),"",J356-M356-K356)</f>
        <v/>
      </c>
      <c r="O356" s="5">
        <f>IF(OR(J356="",J356=0),"",N356/J356)</f>
        <v/>
      </c>
    </row>
    <row r="357">
      <c r="B357" s="2">
        <f>IF(A357="","",IFERROR(INDEX('판매채널'!$B$2:$B$501,MATCH(A357,'판매채널'!$A$2:$A$501,0)),""))</f>
        <v/>
      </c>
      <c r="D357" s="2">
        <f>IF(C357="","",IFERROR(INDEX('판매구성'!$B$2:$B$501,MATCH(C357,'판매구성'!$A$2:$A$501,0)),""))</f>
        <v/>
      </c>
      <c r="G357" s="3" t="n"/>
      <c r="I357" s="2">
        <f>IF(C357="","",IFERROR(INDEX('판매구성'!$C$2:$C$501,MATCH(C357,'판매구성'!$A$2:$A$501,0)),""))</f>
        <v/>
      </c>
      <c r="J357" s="4">
        <f>IF(OR(C357="",E357=""),"",IFERROR(IF(INDEX('가격표'!$D$2:$K$501,MATCH(C357,'가격표'!$A$2:$A$501,0),MATCH(E357,'가격표'!$D$1:$K$1,0))="","",INDEX('가격표'!$D$2:$K$501,MATCH(C357,'가격표'!$A$2:$A$501,0),MATCH(E357,'가격표'!$D$1:$K$1,0))),""))</f>
        <v/>
      </c>
      <c r="K357" s="4">
        <f>IF(C357="","",IFERROR(INDEX('판매구성'!$D$2:$D$501,MATCH(C357,'판매구성'!$A$2:$A$501,0)),""))</f>
        <v/>
      </c>
      <c r="L357" s="4">
        <f>IF(OR(J357="",K357=""),"",ROUND(J357-(J357-K357)*'설정'!$B$2,0))</f>
        <v/>
      </c>
      <c r="M357" s="4">
        <f>IF(OR(A357="",J357=""),"",ROUND(J357*N(IFERROR(INDEX('판매채널'!$F$2:$F$501,MATCH(A357,'판매채널'!$A$2:$A$501,0)),"")),0))</f>
        <v/>
      </c>
      <c r="N357" s="4">
        <f>IF(OR(J357="",K357=""),"",J357-M357-K357)</f>
        <v/>
      </c>
      <c r="O357" s="5">
        <f>IF(OR(J357="",J357=0),"",N357/J357)</f>
        <v/>
      </c>
    </row>
    <row r="358">
      <c r="B358" s="2">
        <f>IF(A358="","",IFERROR(INDEX('판매채널'!$B$2:$B$501,MATCH(A358,'판매채널'!$A$2:$A$501,0)),""))</f>
        <v/>
      </c>
      <c r="D358" s="2">
        <f>IF(C358="","",IFERROR(INDEX('판매구성'!$B$2:$B$501,MATCH(C358,'판매구성'!$A$2:$A$501,0)),""))</f>
        <v/>
      </c>
      <c r="G358" s="3" t="n"/>
      <c r="I358" s="2">
        <f>IF(C358="","",IFERROR(INDEX('판매구성'!$C$2:$C$501,MATCH(C358,'판매구성'!$A$2:$A$501,0)),""))</f>
        <v/>
      </c>
      <c r="J358" s="4">
        <f>IF(OR(C358="",E358=""),"",IFERROR(IF(INDEX('가격표'!$D$2:$K$501,MATCH(C358,'가격표'!$A$2:$A$501,0),MATCH(E358,'가격표'!$D$1:$K$1,0))="","",INDEX('가격표'!$D$2:$K$501,MATCH(C358,'가격표'!$A$2:$A$501,0),MATCH(E358,'가격표'!$D$1:$K$1,0))),""))</f>
        <v/>
      </c>
      <c r="K358" s="4">
        <f>IF(C358="","",IFERROR(INDEX('판매구성'!$D$2:$D$501,MATCH(C358,'판매구성'!$A$2:$A$501,0)),""))</f>
        <v/>
      </c>
      <c r="L358" s="4">
        <f>IF(OR(J358="",K358=""),"",ROUND(J358-(J358-K358)*'설정'!$B$2,0))</f>
        <v/>
      </c>
      <c r="M358" s="4">
        <f>IF(OR(A358="",J358=""),"",ROUND(J358*N(IFERROR(INDEX('판매채널'!$F$2:$F$501,MATCH(A358,'판매채널'!$A$2:$A$501,0)),"")),0))</f>
        <v/>
      </c>
      <c r="N358" s="4">
        <f>IF(OR(J358="",K358=""),"",J358-M358-K358)</f>
        <v/>
      </c>
      <c r="O358" s="5">
        <f>IF(OR(J358="",J358=0),"",N358/J358)</f>
        <v/>
      </c>
    </row>
    <row r="359">
      <c r="B359" s="2">
        <f>IF(A359="","",IFERROR(INDEX('판매채널'!$B$2:$B$501,MATCH(A359,'판매채널'!$A$2:$A$501,0)),""))</f>
        <v/>
      </c>
      <c r="D359" s="2">
        <f>IF(C359="","",IFERROR(INDEX('판매구성'!$B$2:$B$501,MATCH(C359,'판매구성'!$A$2:$A$501,0)),""))</f>
        <v/>
      </c>
      <c r="G359" s="3" t="n"/>
      <c r="I359" s="2">
        <f>IF(C359="","",IFERROR(INDEX('판매구성'!$C$2:$C$501,MATCH(C359,'판매구성'!$A$2:$A$501,0)),""))</f>
        <v/>
      </c>
      <c r="J359" s="4">
        <f>IF(OR(C359="",E359=""),"",IFERROR(IF(INDEX('가격표'!$D$2:$K$501,MATCH(C359,'가격표'!$A$2:$A$501,0),MATCH(E359,'가격표'!$D$1:$K$1,0))="","",INDEX('가격표'!$D$2:$K$501,MATCH(C359,'가격표'!$A$2:$A$501,0),MATCH(E359,'가격표'!$D$1:$K$1,0))),""))</f>
        <v/>
      </c>
      <c r="K359" s="4">
        <f>IF(C359="","",IFERROR(INDEX('판매구성'!$D$2:$D$501,MATCH(C359,'판매구성'!$A$2:$A$501,0)),""))</f>
        <v/>
      </c>
      <c r="L359" s="4">
        <f>IF(OR(J359="",K359=""),"",ROUND(J359-(J359-K359)*'설정'!$B$2,0))</f>
        <v/>
      </c>
      <c r="M359" s="4">
        <f>IF(OR(A359="",J359=""),"",ROUND(J359*N(IFERROR(INDEX('판매채널'!$F$2:$F$501,MATCH(A359,'판매채널'!$A$2:$A$501,0)),"")),0))</f>
        <v/>
      </c>
      <c r="N359" s="4">
        <f>IF(OR(J359="",K359=""),"",J359-M359-K359)</f>
        <v/>
      </c>
      <c r="O359" s="5">
        <f>IF(OR(J359="",J359=0),"",N359/J359)</f>
        <v/>
      </c>
    </row>
    <row r="360">
      <c r="B360" s="2">
        <f>IF(A360="","",IFERROR(INDEX('판매채널'!$B$2:$B$501,MATCH(A360,'판매채널'!$A$2:$A$501,0)),""))</f>
        <v/>
      </c>
      <c r="D360" s="2">
        <f>IF(C360="","",IFERROR(INDEX('판매구성'!$B$2:$B$501,MATCH(C360,'판매구성'!$A$2:$A$501,0)),""))</f>
        <v/>
      </c>
      <c r="G360" s="3" t="n"/>
      <c r="I360" s="2">
        <f>IF(C360="","",IFERROR(INDEX('판매구성'!$C$2:$C$501,MATCH(C360,'판매구성'!$A$2:$A$501,0)),""))</f>
        <v/>
      </c>
      <c r="J360" s="4">
        <f>IF(OR(C360="",E360=""),"",IFERROR(IF(INDEX('가격표'!$D$2:$K$501,MATCH(C360,'가격표'!$A$2:$A$501,0),MATCH(E360,'가격표'!$D$1:$K$1,0))="","",INDEX('가격표'!$D$2:$K$501,MATCH(C360,'가격표'!$A$2:$A$501,0),MATCH(E360,'가격표'!$D$1:$K$1,0))),""))</f>
        <v/>
      </c>
      <c r="K360" s="4">
        <f>IF(C360="","",IFERROR(INDEX('판매구성'!$D$2:$D$501,MATCH(C360,'판매구성'!$A$2:$A$501,0)),""))</f>
        <v/>
      </c>
      <c r="L360" s="4">
        <f>IF(OR(J360="",K360=""),"",ROUND(J360-(J360-K360)*'설정'!$B$2,0))</f>
        <v/>
      </c>
      <c r="M360" s="4">
        <f>IF(OR(A360="",J360=""),"",ROUND(J360*N(IFERROR(INDEX('판매채널'!$F$2:$F$501,MATCH(A360,'판매채널'!$A$2:$A$501,0)),"")),0))</f>
        <v/>
      </c>
      <c r="N360" s="4">
        <f>IF(OR(J360="",K360=""),"",J360-M360-K360)</f>
        <v/>
      </c>
      <c r="O360" s="5">
        <f>IF(OR(J360="",J360=0),"",N360/J360)</f>
        <v/>
      </c>
    </row>
    <row r="361">
      <c r="B361" s="2">
        <f>IF(A361="","",IFERROR(INDEX('판매채널'!$B$2:$B$501,MATCH(A361,'판매채널'!$A$2:$A$501,0)),""))</f>
        <v/>
      </c>
      <c r="D361" s="2">
        <f>IF(C361="","",IFERROR(INDEX('판매구성'!$B$2:$B$501,MATCH(C361,'판매구성'!$A$2:$A$501,0)),""))</f>
        <v/>
      </c>
      <c r="G361" s="3" t="n"/>
      <c r="I361" s="2">
        <f>IF(C361="","",IFERROR(INDEX('판매구성'!$C$2:$C$501,MATCH(C361,'판매구성'!$A$2:$A$501,0)),""))</f>
        <v/>
      </c>
      <c r="J361" s="4">
        <f>IF(OR(C361="",E361=""),"",IFERROR(IF(INDEX('가격표'!$D$2:$K$501,MATCH(C361,'가격표'!$A$2:$A$501,0),MATCH(E361,'가격표'!$D$1:$K$1,0))="","",INDEX('가격표'!$D$2:$K$501,MATCH(C361,'가격표'!$A$2:$A$501,0),MATCH(E361,'가격표'!$D$1:$K$1,0))),""))</f>
        <v/>
      </c>
      <c r="K361" s="4">
        <f>IF(C361="","",IFERROR(INDEX('판매구성'!$D$2:$D$501,MATCH(C361,'판매구성'!$A$2:$A$501,0)),""))</f>
        <v/>
      </c>
      <c r="L361" s="4">
        <f>IF(OR(J361="",K361=""),"",ROUND(J361-(J361-K361)*'설정'!$B$2,0))</f>
        <v/>
      </c>
      <c r="M361" s="4">
        <f>IF(OR(A361="",J361=""),"",ROUND(J361*N(IFERROR(INDEX('판매채널'!$F$2:$F$501,MATCH(A361,'판매채널'!$A$2:$A$501,0)),"")),0))</f>
        <v/>
      </c>
      <c r="N361" s="4">
        <f>IF(OR(J361="",K361=""),"",J361-M361-K361)</f>
        <v/>
      </c>
      <c r="O361" s="5">
        <f>IF(OR(J361="",J361=0),"",N361/J361)</f>
        <v/>
      </c>
    </row>
    <row r="362">
      <c r="B362" s="2">
        <f>IF(A362="","",IFERROR(INDEX('판매채널'!$B$2:$B$501,MATCH(A362,'판매채널'!$A$2:$A$501,0)),""))</f>
        <v/>
      </c>
      <c r="D362" s="2">
        <f>IF(C362="","",IFERROR(INDEX('판매구성'!$B$2:$B$501,MATCH(C362,'판매구성'!$A$2:$A$501,0)),""))</f>
        <v/>
      </c>
      <c r="G362" s="3" t="n"/>
      <c r="I362" s="2">
        <f>IF(C362="","",IFERROR(INDEX('판매구성'!$C$2:$C$501,MATCH(C362,'판매구성'!$A$2:$A$501,0)),""))</f>
        <v/>
      </c>
      <c r="J362" s="4">
        <f>IF(OR(C362="",E362=""),"",IFERROR(IF(INDEX('가격표'!$D$2:$K$501,MATCH(C362,'가격표'!$A$2:$A$501,0),MATCH(E362,'가격표'!$D$1:$K$1,0))="","",INDEX('가격표'!$D$2:$K$501,MATCH(C362,'가격표'!$A$2:$A$501,0),MATCH(E362,'가격표'!$D$1:$K$1,0))),""))</f>
        <v/>
      </c>
      <c r="K362" s="4">
        <f>IF(C362="","",IFERROR(INDEX('판매구성'!$D$2:$D$501,MATCH(C362,'판매구성'!$A$2:$A$501,0)),""))</f>
        <v/>
      </c>
      <c r="L362" s="4">
        <f>IF(OR(J362="",K362=""),"",ROUND(J362-(J362-K362)*'설정'!$B$2,0))</f>
        <v/>
      </c>
      <c r="M362" s="4">
        <f>IF(OR(A362="",J362=""),"",ROUND(J362*N(IFERROR(INDEX('판매채널'!$F$2:$F$501,MATCH(A362,'판매채널'!$A$2:$A$501,0)),"")),0))</f>
        <v/>
      </c>
      <c r="N362" s="4">
        <f>IF(OR(J362="",K362=""),"",J362-M362-K362)</f>
        <v/>
      </c>
      <c r="O362" s="5">
        <f>IF(OR(J362="",J362=0),"",N362/J362)</f>
        <v/>
      </c>
    </row>
    <row r="363">
      <c r="B363" s="2">
        <f>IF(A363="","",IFERROR(INDEX('판매채널'!$B$2:$B$501,MATCH(A363,'판매채널'!$A$2:$A$501,0)),""))</f>
        <v/>
      </c>
      <c r="D363" s="2">
        <f>IF(C363="","",IFERROR(INDEX('판매구성'!$B$2:$B$501,MATCH(C363,'판매구성'!$A$2:$A$501,0)),""))</f>
        <v/>
      </c>
      <c r="G363" s="3" t="n"/>
      <c r="I363" s="2">
        <f>IF(C363="","",IFERROR(INDEX('판매구성'!$C$2:$C$501,MATCH(C363,'판매구성'!$A$2:$A$501,0)),""))</f>
        <v/>
      </c>
      <c r="J363" s="4">
        <f>IF(OR(C363="",E363=""),"",IFERROR(IF(INDEX('가격표'!$D$2:$K$501,MATCH(C363,'가격표'!$A$2:$A$501,0),MATCH(E363,'가격표'!$D$1:$K$1,0))="","",INDEX('가격표'!$D$2:$K$501,MATCH(C363,'가격표'!$A$2:$A$501,0),MATCH(E363,'가격표'!$D$1:$K$1,0))),""))</f>
        <v/>
      </c>
      <c r="K363" s="4">
        <f>IF(C363="","",IFERROR(INDEX('판매구성'!$D$2:$D$501,MATCH(C363,'판매구성'!$A$2:$A$501,0)),""))</f>
        <v/>
      </c>
      <c r="L363" s="4">
        <f>IF(OR(J363="",K363=""),"",ROUND(J363-(J363-K363)*'설정'!$B$2,0))</f>
        <v/>
      </c>
      <c r="M363" s="4">
        <f>IF(OR(A363="",J363=""),"",ROUND(J363*N(IFERROR(INDEX('판매채널'!$F$2:$F$501,MATCH(A363,'판매채널'!$A$2:$A$501,0)),"")),0))</f>
        <v/>
      </c>
      <c r="N363" s="4">
        <f>IF(OR(J363="",K363=""),"",J363-M363-K363)</f>
        <v/>
      </c>
      <c r="O363" s="5">
        <f>IF(OR(J363="",J363=0),"",N363/J363)</f>
        <v/>
      </c>
    </row>
    <row r="364">
      <c r="B364" s="2">
        <f>IF(A364="","",IFERROR(INDEX('판매채널'!$B$2:$B$501,MATCH(A364,'판매채널'!$A$2:$A$501,0)),""))</f>
        <v/>
      </c>
      <c r="D364" s="2">
        <f>IF(C364="","",IFERROR(INDEX('판매구성'!$B$2:$B$501,MATCH(C364,'판매구성'!$A$2:$A$501,0)),""))</f>
        <v/>
      </c>
      <c r="G364" s="3" t="n"/>
      <c r="I364" s="2">
        <f>IF(C364="","",IFERROR(INDEX('판매구성'!$C$2:$C$501,MATCH(C364,'판매구성'!$A$2:$A$501,0)),""))</f>
        <v/>
      </c>
      <c r="J364" s="4">
        <f>IF(OR(C364="",E364=""),"",IFERROR(IF(INDEX('가격표'!$D$2:$K$501,MATCH(C364,'가격표'!$A$2:$A$501,0),MATCH(E364,'가격표'!$D$1:$K$1,0))="","",INDEX('가격표'!$D$2:$K$501,MATCH(C364,'가격표'!$A$2:$A$501,0),MATCH(E364,'가격표'!$D$1:$K$1,0))),""))</f>
        <v/>
      </c>
      <c r="K364" s="4">
        <f>IF(C364="","",IFERROR(INDEX('판매구성'!$D$2:$D$501,MATCH(C364,'판매구성'!$A$2:$A$501,0)),""))</f>
        <v/>
      </c>
      <c r="L364" s="4">
        <f>IF(OR(J364="",K364=""),"",ROUND(J364-(J364-K364)*'설정'!$B$2,0))</f>
        <v/>
      </c>
      <c r="M364" s="4">
        <f>IF(OR(A364="",J364=""),"",ROUND(J364*N(IFERROR(INDEX('판매채널'!$F$2:$F$501,MATCH(A364,'판매채널'!$A$2:$A$501,0)),"")),0))</f>
        <v/>
      </c>
      <c r="N364" s="4">
        <f>IF(OR(J364="",K364=""),"",J364-M364-K364)</f>
        <v/>
      </c>
      <c r="O364" s="5">
        <f>IF(OR(J364="",J364=0),"",N364/J364)</f>
        <v/>
      </c>
    </row>
    <row r="365">
      <c r="B365" s="2">
        <f>IF(A365="","",IFERROR(INDEX('판매채널'!$B$2:$B$501,MATCH(A365,'판매채널'!$A$2:$A$501,0)),""))</f>
        <v/>
      </c>
      <c r="D365" s="2">
        <f>IF(C365="","",IFERROR(INDEX('판매구성'!$B$2:$B$501,MATCH(C365,'판매구성'!$A$2:$A$501,0)),""))</f>
        <v/>
      </c>
      <c r="G365" s="3" t="n"/>
      <c r="I365" s="2">
        <f>IF(C365="","",IFERROR(INDEX('판매구성'!$C$2:$C$501,MATCH(C365,'판매구성'!$A$2:$A$501,0)),""))</f>
        <v/>
      </c>
      <c r="J365" s="4">
        <f>IF(OR(C365="",E365=""),"",IFERROR(IF(INDEX('가격표'!$D$2:$K$501,MATCH(C365,'가격표'!$A$2:$A$501,0),MATCH(E365,'가격표'!$D$1:$K$1,0))="","",INDEX('가격표'!$D$2:$K$501,MATCH(C365,'가격표'!$A$2:$A$501,0),MATCH(E365,'가격표'!$D$1:$K$1,0))),""))</f>
        <v/>
      </c>
      <c r="K365" s="4">
        <f>IF(C365="","",IFERROR(INDEX('판매구성'!$D$2:$D$501,MATCH(C365,'판매구성'!$A$2:$A$501,0)),""))</f>
        <v/>
      </c>
      <c r="L365" s="4">
        <f>IF(OR(J365="",K365=""),"",ROUND(J365-(J365-K365)*'설정'!$B$2,0))</f>
        <v/>
      </c>
      <c r="M365" s="4">
        <f>IF(OR(A365="",J365=""),"",ROUND(J365*N(IFERROR(INDEX('판매채널'!$F$2:$F$501,MATCH(A365,'판매채널'!$A$2:$A$501,0)),"")),0))</f>
        <v/>
      </c>
      <c r="N365" s="4">
        <f>IF(OR(J365="",K365=""),"",J365-M365-K365)</f>
        <v/>
      </c>
      <c r="O365" s="5">
        <f>IF(OR(J365="",J365=0),"",N365/J365)</f>
        <v/>
      </c>
    </row>
    <row r="366">
      <c r="B366" s="2">
        <f>IF(A366="","",IFERROR(INDEX('판매채널'!$B$2:$B$501,MATCH(A366,'판매채널'!$A$2:$A$501,0)),""))</f>
        <v/>
      </c>
      <c r="D366" s="2">
        <f>IF(C366="","",IFERROR(INDEX('판매구성'!$B$2:$B$501,MATCH(C366,'판매구성'!$A$2:$A$501,0)),""))</f>
        <v/>
      </c>
      <c r="G366" s="3" t="n"/>
      <c r="I366" s="2">
        <f>IF(C366="","",IFERROR(INDEX('판매구성'!$C$2:$C$501,MATCH(C366,'판매구성'!$A$2:$A$501,0)),""))</f>
        <v/>
      </c>
      <c r="J366" s="4">
        <f>IF(OR(C366="",E366=""),"",IFERROR(IF(INDEX('가격표'!$D$2:$K$501,MATCH(C366,'가격표'!$A$2:$A$501,0),MATCH(E366,'가격표'!$D$1:$K$1,0))="","",INDEX('가격표'!$D$2:$K$501,MATCH(C366,'가격표'!$A$2:$A$501,0),MATCH(E366,'가격표'!$D$1:$K$1,0))),""))</f>
        <v/>
      </c>
      <c r="K366" s="4">
        <f>IF(C366="","",IFERROR(INDEX('판매구성'!$D$2:$D$501,MATCH(C366,'판매구성'!$A$2:$A$501,0)),""))</f>
        <v/>
      </c>
      <c r="L366" s="4">
        <f>IF(OR(J366="",K366=""),"",ROUND(J366-(J366-K366)*'설정'!$B$2,0))</f>
        <v/>
      </c>
      <c r="M366" s="4">
        <f>IF(OR(A366="",J366=""),"",ROUND(J366*N(IFERROR(INDEX('판매채널'!$F$2:$F$501,MATCH(A366,'판매채널'!$A$2:$A$501,0)),"")),0))</f>
        <v/>
      </c>
      <c r="N366" s="4">
        <f>IF(OR(J366="",K366=""),"",J366-M366-K366)</f>
        <v/>
      </c>
      <c r="O366" s="5">
        <f>IF(OR(J366="",J366=0),"",N366/J366)</f>
        <v/>
      </c>
    </row>
    <row r="367">
      <c r="B367" s="2">
        <f>IF(A367="","",IFERROR(INDEX('판매채널'!$B$2:$B$501,MATCH(A367,'판매채널'!$A$2:$A$501,0)),""))</f>
        <v/>
      </c>
      <c r="D367" s="2">
        <f>IF(C367="","",IFERROR(INDEX('판매구성'!$B$2:$B$501,MATCH(C367,'판매구성'!$A$2:$A$501,0)),""))</f>
        <v/>
      </c>
      <c r="G367" s="3" t="n"/>
      <c r="I367" s="2">
        <f>IF(C367="","",IFERROR(INDEX('판매구성'!$C$2:$C$501,MATCH(C367,'판매구성'!$A$2:$A$501,0)),""))</f>
        <v/>
      </c>
      <c r="J367" s="4">
        <f>IF(OR(C367="",E367=""),"",IFERROR(IF(INDEX('가격표'!$D$2:$K$501,MATCH(C367,'가격표'!$A$2:$A$501,0),MATCH(E367,'가격표'!$D$1:$K$1,0))="","",INDEX('가격표'!$D$2:$K$501,MATCH(C367,'가격표'!$A$2:$A$501,0),MATCH(E367,'가격표'!$D$1:$K$1,0))),""))</f>
        <v/>
      </c>
      <c r="K367" s="4">
        <f>IF(C367="","",IFERROR(INDEX('판매구성'!$D$2:$D$501,MATCH(C367,'판매구성'!$A$2:$A$501,0)),""))</f>
        <v/>
      </c>
      <c r="L367" s="4">
        <f>IF(OR(J367="",K367=""),"",ROUND(J367-(J367-K367)*'설정'!$B$2,0))</f>
        <v/>
      </c>
      <c r="M367" s="4">
        <f>IF(OR(A367="",J367=""),"",ROUND(J367*N(IFERROR(INDEX('판매채널'!$F$2:$F$501,MATCH(A367,'판매채널'!$A$2:$A$501,0)),"")),0))</f>
        <v/>
      </c>
      <c r="N367" s="4">
        <f>IF(OR(J367="",K367=""),"",J367-M367-K367)</f>
        <v/>
      </c>
      <c r="O367" s="5">
        <f>IF(OR(J367="",J367=0),"",N367/J367)</f>
        <v/>
      </c>
    </row>
    <row r="368">
      <c r="B368" s="2">
        <f>IF(A368="","",IFERROR(INDEX('판매채널'!$B$2:$B$501,MATCH(A368,'판매채널'!$A$2:$A$501,0)),""))</f>
        <v/>
      </c>
      <c r="D368" s="2">
        <f>IF(C368="","",IFERROR(INDEX('판매구성'!$B$2:$B$501,MATCH(C368,'판매구성'!$A$2:$A$501,0)),""))</f>
        <v/>
      </c>
      <c r="G368" s="3" t="n"/>
      <c r="I368" s="2">
        <f>IF(C368="","",IFERROR(INDEX('판매구성'!$C$2:$C$501,MATCH(C368,'판매구성'!$A$2:$A$501,0)),""))</f>
        <v/>
      </c>
      <c r="J368" s="4">
        <f>IF(OR(C368="",E368=""),"",IFERROR(IF(INDEX('가격표'!$D$2:$K$501,MATCH(C368,'가격표'!$A$2:$A$501,0),MATCH(E368,'가격표'!$D$1:$K$1,0))="","",INDEX('가격표'!$D$2:$K$501,MATCH(C368,'가격표'!$A$2:$A$501,0),MATCH(E368,'가격표'!$D$1:$K$1,0))),""))</f>
        <v/>
      </c>
      <c r="K368" s="4">
        <f>IF(C368="","",IFERROR(INDEX('판매구성'!$D$2:$D$501,MATCH(C368,'판매구성'!$A$2:$A$501,0)),""))</f>
        <v/>
      </c>
      <c r="L368" s="4">
        <f>IF(OR(J368="",K368=""),"",ROUND(J368-(J368-K368)*'설정'!$B$2,0))</f>
        <v/>
      </c>
      <c r="M368" s="4">
        <f>IF(OR(A368="",J368=""),"",ROUND(J368*N(IFERROR(INDEX('판매채널'!$F$2:$F$501,MATCH(A368,'판매채널'!$A$2:$A$501,0)),"")),0))</f>
        <v/>
      </c>
      <c r="N368" s="4">
        <f>IF(OR(J368="",K368=""),"",J368-M368-K368)</f>
        <v/>
      </c>
      <c r="O368" s="5">
        <f>IF(OR(J368="",J368=0),"",N368/J368)</f>
        <v/>
      </c>
    </row>
    <row r="369">
      <c r="B369" s="2">
        <f>IF(A369="","",IFERROR(INDEX('판매채널'!$B$2:$B$501,MATCH(A369,'판매채널'!$A$2:$A$501,0)),""))</f>
        <v/>
      </c>
      <c r="D369" s="2">
        <f>IF(C369="","",IFERROR(INDEX('판매구성'!$B$2:$B$501,MATCH(C369,'판매구성'!$A$2:$A$501,0)),""))</f>
        <v/>
      </c>
      <c r="G369" s="3" t="n"/>
      <c r="I369" s="2">
        <f>IF(C369="","",IFERROR(INDEX('판매구성'!$C$2:$C$501,MATCH(C369,'판매구성'!$A$2:$A$501,0)),""))</f>
        <v/>
      </c>
      <c r="J369" s="4">
        <f>IF(OR(C369="",E369=""),"",IFERROR(IF(INDEX('가격표'!$D$2:$K$501,MATCH(C369,'가격표'!$A$2:$A$501,0),MATCH(E369,'가격표'!$D$1:$K$1,0))="","",INDEX('가격표'!$D$2:$K$501,MATCH(C369,'가격표'!$A$2:$A$501,0),MATCH(E369,'가격표'!$D$1:$K$1,0))),""))</f>
        <v/>
      </c>
      <c r="K369" s="4">
        <f>IF(C369="","",IFERROR(INDEX('판매구성'!$D$2:$D$501,MATCH(C369,'판매구성'!$A$2:$A$501,0)),""))</f>
        <v/>
      </c>
      <c r="L369" s="4">
        <f>IF(OR(J369="",K369=""),"",ROUND(J369-(J369-K369)*'설정'!$B$2,0))</f>
        <v/>
      </c>
      <c r="M369" s="4">
        <f>IF(OR(A369="",J369=""),"",ROUND(J369*N(IFERROR(INDEX('판매채널'!$F$2:$F$501,MATCH(A369,'판매채널'!$A$2:$A$501,0)),"")),0))</f>
        <v/>
      </c>
      <c r="N369" s="4">
        <f>IF(OR(J369="",K369=""),"",J369-M369-K369)</f>
        <v/>
      </c>
      <c r="O369" s="5">
        <f>IF(OR(J369="",J369=0),"",N369/J369)</f>
        <v/>
      </c>
    </row>
    <row r="370">
      <c r="B370" s="2">
        <f>IF(A370="","",IFERROR(INDEX('판매채널'!$B$2:$B$501,MATCH(A370,'판매채널'!$A$2:$A$501,0)),""))</f>
        <v/>
      </c>
      <c r="D370" s="2">
        <f>IF(C370="","",IFERROR(INDEX('판매구성'!$B$2:$B$501,MATCH(C370,'판매구성'!$A$2:$A$501,0)),""))</f>
        <v/>
      </c>
      <c r="G370" s="3" t="n"/>
      <c r="I370" s="2">
        <f>IF(C370="","",IFERROR(INDEX('판매구성'!$C$2:$C$501,MATCH(C370,'판매구성'!$A$2:$A$501,0)),""))</f>
        <v/>
      </c>
      <c r="J370" s="4">
        <f>IF(OR(C370="",E370=""),"",IFERROR(IF(INDEX('가격표'!$D$2:$K$501,MATCH(C370,'가격표'!$A$2:$A$501,0),MATCH(E370,'가격표'!$D$1:$K$1,0))="","",INDEX('가격표'!$D$2:$K$501,MATCH(C370,'가격표'!$A$2:$A$501,0),MATCH(E370,'가격표'!$D$1:$K$1,0))),""))</f>
        <v/>
      </c>
      <c r="K370" s="4">
        <f>IF(C370="","",IFERROR(INDEX('판매구성'!$D$2:$D$501,MATCH(C370,'판매구성'!$A$2:$A$501,0)),""))</f>
        <v/>
      </c>
      <c r="L370" s="4">
        <f>IF(OR(J370="",K370=""),"",ROUND(J370-(J370-K370)*'설정'!$B$2,0))</f>
        <v/>
      </c>
      <c r="M370" s="4">
        <f>IF(OR(A370="",J370=""),"",ROUND(J370*N(IFERROR(INDEX('판매채널'!$F$2:$F$501,MATCH(A370,'판매채널'!$A$2:$A$501,0)),"")),0))</f>
        <v/>
      </c>
      <c r="N370" s="4">
        <f>IF(OR(J370="",K370=""),"",J370-M370-K370)</f>
        <v/>
      </c>
      <c r="O370" s="5">
        <f>IF(OR(J370="",J370=0),"",N370/J370)</f>
        <v/>
      </c>
    </row>
    <row r="371">
      <c r="B371" s="2">
        <f>IF(A371="","",IFERROR(INDEX('판매채널'!$B$2:$B$501,MATCH(A371,'판매채널'!$A$2:$A$501,0)),""))</f>
        <v/>
      </c>
      <c r="D371" s="2">
        <f>IF(C371="","",IFERROR(INDEX('판매구성'!$B$2:$B$501,MATCH(C371,'판매구성'!$A$2:$A$501,0)),""))</f>
        <v/>
      </c>
      <c r="G371" s="3" t="n"/>
      <c r="I371" s="2">
        <f>IF(C371="","",IFERROR(INDEX('판매구성'!$C$2:$C$501,MATCH(C371,'판매구성'!$A$2:$A$501,0)),""))</f>
        <v/>
      </c>
      <c r="J371" s="4">
        <f>IF(OR(C371="",E371=""),"",IFERROR(IF(INDEX('가격표'!$D$2:$K$501,MATCH(C371,'가격표'!$A$2:$A$501,0),MATCH(E371,'가격표'!$D$1:$K$1,0))="","",INDEX('가격표'!$D$2:$K$501,MATCH(C371,'가격표'!$A$2:$A$501,0),MATCH(E371,'가격표'!$D$1:$K$1,0))),""))</f>
        <v/>
      </c>
      <c r="K371" s="4">
        <f>IF(C371="","",IFERROR(INDEX('판매구성'!$D$2:$D$501,MATCH(C371,'판매구성'!$A$2:$A$501,0)),""))</f>
        <v/>
      </c>
      <c r="L371" s="4">
        <f>IF(OR(J371="",K371=""),"",ROUND(J371-(J371-K371)*'설정'!$B$2,0))</f>
        <v/>
      </c>
      <c r="M371" s="4">
        <f>IF(OR(A371="",J371=""),"",ROUND(J371*N(IFERROR(INDEX('판매채널'!$F$2:$F$501,MATCH(A371,'판매채널'!$A$2:$A$501,0)),"")),0))</f>
        <v/>
      </c>
      <c r="N371" s="4">
        <f>IF(OR(J371="",K371=""),"",J371-M371-K371)</f>
        <v/>
      </c>
      <c r="O371" s="5">
        <f>IF(OR(J371="",J371=0),"",N371/J371)</f>
        <v/>
      </c>
    </row>
    <row r="372">
      <c r="B372" s="2">
        <f>IF(A372="","",IFERROR(INDEX('판매채널'!$B$2:$B$501,MATCH(A372,'판매채널'!$A$2:$A$501,0)),""))</f>
        <v/>
      </c>
      <c r="D372" s="2">
        <f>IF(C372="","",IFERROR(INDEX('판매구성'!$B$2:$B$501,MATCH(C372,'판매구성'!$A$2:$A$501,0)),""))</f>
        <v/>
      </c>
      <c r="G372" s="3" t="n"/>
      <c r="I372" s="2">
        <f>IF(C372="","",IFERROR(INDEX('판매구성'!$C$2:$C$501,MATCH(C372,'판매구성'!$A$2:$A$501,0)),""))</f>
        <v/>
      </c>
      <c r="J372" s="4">
        <f>IF(OR(C372="",E372=""),"",IFERROR(IF(INDEX('가격표'!$D$2:$K$501,MATCH(C372,'가격표'!$A$2:$A$501,0),MATCH(E372,'가격표'!$D$1:$K$1,0))="","",INDEX('가격표'!$D$2:$K$501,MATCH(C372,'가격표'!$A$2:$A$501,0),MATCH(E372,'가격표'!$D$1:$K$1,0))),""))</f>
        <v/>
      </c>
      <c r="K372" s="4">
        <f>IF(C372="","",IFERROR(INDEX('판매구성'!$D$2:$D$501,MATCH(C372,'판매구성'!$A$2:$A$501,0)),""))</f>
        <v/>
      </c>
      <c r="L372" s="4">
        <f>IF(OR(J372="",K372=""),"",ROUND(J372-(J372-K372)*'설정'!$B$2,0))</f>
        <v/>
      </c>
      <c r="M372" s="4">
        <f>IF(OR(A372="",J372=""),"",ROUND(J372*N(IFERROR(INDEX('판매채널'!$F$2:$F$501,MATCH(A372,'판매채널'!$A$2:$A$501,0)),"")),0))</f>
        <v/>
      </c>
      <c r="N372" s="4">
        <f>IF(OR(J372="",K372=""),"",J372-M372-K372)</f>
        <v/>
      </c>
      <c r="O372" s="5">
        <f>IF(OR(J372="",J372=0),"",N372/J372)</f>
        <v/>
      </c>
    </row>
    <row r="373">
      <c r="B373" s="2">
        <f>IF(A373="","",IFERROR(INDEX('판매채널'!$B$2:$B$501,MATCH(A373,'판매채널'!$A$2:$A$501,0)),""))</f>
        <v/>
      </c>
      <c r="D373" s="2">
        <f>IF(C373="","",IFERROR(INDEX('판매구성'!$B$2:$B$501,MATCH(C373,'판매구성'!$A$2:$A$501,0)),""))</f>
        <v/>
      </c>
      <c r="G373" s="3" t="n"/>
      <c r="I373" s="2">
        <f>IF(C373="","",IFERROR(INDEX('판매구성'!$C$2:$C$501,MATCH(C373,'판매구성'!$A$2:$A$501,0)),""))</f>
        <v/>
      </c>
      <c r="J373" s="4">
        <f>IF(OR(C373="",E373=""),"",IFERROR(IF(INDEX('가격표'!$D$2:$K$501,MATCH(C373,'가격표'!$A$2:$A$501,0),MATCH(E373,'가격표'!$D$1:$K$1,0))="","",INDEX('가격표'!$D$2:$K$501,MATCH(C373,'가격표'!$A$2:$A$501,0),MATCH(E373,'가격표'!$D$1:$K$1,0))),""))</f>
        <v/>
      </c>
      <c r="K373" s="4">
        <f>IF(C373="","",IFERROR(INDEX('판매구성'!$D$2:$D$501,MATCH(C373,'판매구성'!$A$2:$A$501,0)),""))</f>
        <v/>
      </c>
      <c r="L373" s="4">
        <f>IF(OR(J373="",K373=""),"",ROUND(J373-(J373-K373)*'설정'!$B$2,0))</f>
        <v/>
      </c>
      <c r="M373" s="4">
        <f>IF(OR(A373="",J373=""),"",ROUND(J373*N(IFERROR(INDEX('판매채널'!$F$2:$F$501,MATCH(A373,'판매채널'!$A$2:$A$501,0)),"")),0))</f>
        <v/>
      </c>
      <c r="N373" s="4">
        <f>IF(OR(J373="",K373=""),"",J373-M373-K373)</f>
        <v/>
      </c>
      <c r="O373" s="5">
        <f>IF(OR(J373="",J373=0),"",N373/J373)</f>
        <v/>
      </c>
    </row>
    <row r="374">
      <c r="B374" s="2">
        <f>IF(A374="","",IFERROR(INDEX('판매채널'!$B$2:$B$501,MATCH(A374,'판매채널'!$A$2:$A$501,0)),""))</f>
        <v/>
      </c>
      <c r="D374" s="2">
        <f>IF(C374="","",IFERROR(INDEX('판매구성'!$B$2:$B$501,MATCH(C374,'판매구성'!$A$2:$A$501,0)),""))</f>
        <v/>
      </c>
      <c r="G374" s="3" t="n"/>
      <c r="I374" s="2">
        <f>IF(C374="","",IFERROR(INDEX('판매구성'!$C$2:$C$501,MATCH(C374,'판매구성'!$A$2:$A$501,0)),""))</f>
        <v/>
      </c>
      <c r="J374" s="4">
        <f>IF(OR(C374="",E374=""),"",IFERROR(IF(INDEX('가격표'!$D$2:$K$501,MATCH(C374,'가격표'!$A$2:$A$501,0),MATCH(E374,'가격표'!$D$1:$K$1,0))="","",INDEX('가격표'!$D$2:$K$501,MATCH(C374,'가격표'!$A$2:$A$501,0),MATCH(E374,'가격표'!$D$1:$K$1,0))),""))</f>
        <v/>
      </c>
      <c r="K374" s="4">
        <f>IF(C374="","",IFERROR(INDEX('판매구성'!$D$2:$D$501,MATCH(C374,'판매구성'!$A$2:$A$501,0)),""))</f>
        <v/>
      </c>
      <c r="L374" s="4">
        <f>IF(OR(J374="",K374=""),"",ROUND(J374-(J374-K374)*'설정'!$B$2,0))</f>
        <v/>
      </c>
      <c r="M374" s="4">
        <f>IF(OR(A374="",J374=""),"",ROUND(J374*N(IFERROR(INDEX('판매채널'!$F$2:$F$501,MATCH(A374,'판매채널'!$A$2:$A$501,0)),"")),0))</f>
        <v/>
      </c>
      <c r="N374" s="4">
        <f>IF(OR(J374="",K374=""),"",J374-M374-K374)</f>
        <v/>
      </c>
      <c r="O374" s="5">
        <f>IF(OR(J374="",J374=0),"",N374/J374)</f>
        <v/>
      </c>
    </row>
    <row r="375">
      <c r="B375" s="2">
        <f>IF(A375="","",IFERROR(INDEX('판매채널'!$B$2:$B$501,MATCH(A375,'판매채널'!$A$2:$A$501,0)),""))</f>
        <v/>
      </c>
      <c r="D375" s="2">
        <f>IF(C375="","",IFERROR(INDEX('판매구성'!$B$2:$B$501,MATCH(C375,'판매구성'!$A$2:$A$501,0)),""))</f>
        <v/>
      </c>
      <c r="G375" s="3" t="n"/>
      <c r="I375" s="2">
        <f>IF(C375="","",IFERROR(INDEX('판매구성'!$C$2:$C$501,MATCH(C375,'판매구성'!$A$2:$A$501,0)),""))</f>
        <v/>
      </c>
      <c r="J375" s="4">
        <f>IF(OR(C375="",E375=""),"",IFERROR(IF(INDEX('가격표'!$D$2:$K$501,MATCH(C375,'가격표'!$A$2:$A$501,0),MATCH(E375,'가격표'!$D$1:$K$1,0))="","",INDEX('가격표'!$D$2:$K$501,MATCH(C375,'가격표'!$A$2:$A$501,0),MATCH(E375,'가격표'!$D$1:$K$1,0))),""))</f>
        <v/>
      </c>
      <c r="K375" s="4">
        <f>IF(C375="","",IFERROR(INDEX('판매구성'!$D$2:$D$501,MATCH(C375,'판매구성'!$A$2:$A$501,0)),""))</f>
        <v/>
      </c>
      <c r="L375" s="4">
        <f>IF(OR(J375="",K375=""),"",ROUND(J375-(J375-K375)*'설정'!$B$2,0))</f>
        <v/>
      </c>
      <c r="M375" s="4">
        <f>IF(OR(A375="",J375=""),"",ROUND(J375*N(IFERROR(INDEX('판매채널'!$F$2:$F$501,MATCH(A375,'판매채널'!$A$2:$A$501,0)),"")),0))</f>
        <v/>
      </c>
      <c r="N375" s="4">
        <f>IF(OR(J375="",K375=""),"",J375-M375-K375)</f>
        <v/>
      </c>
      <c r="O375" s="5">
        <f>IF(OR(J375="",J375=0),"",N375/J375)</f>
        <v/>
      </c>
    </row>
    <row r="376">
      <c r="B376" s="2">
        <f>IF(A376="","",IFERROR(INDEX('판매채널'!$B$2:$B$501,MATCH(A376,'판매채널'!$A$2:$A$501,0)),""))</f>
        <v/>
      </c>
      <c r="D376" s="2">
        <f>IF(C376="","",IFERROR(INDEX('판매구성'!$B$2:$B$501,MATCH(C376,'판매구성'!$A$2:$A$501,0)),""))</f>
        <v/>
      </c>
      <c r="G376" s="3" t="n"/>
      <c r="I376" s="2">
        <f>IF(C376="","",IFERROR(INDEX('판매구성'!$C$2:$C$501,MATCH(C376,'판매구성'!$A$2:$A$501,0)),""))</f>
        <v/>
      </c>
      <c r="J376" s="4">
        <f>IF(OR(C376="",E376=""),"",IFERROR(IF(INDEX('가격표'!$D$2:$K$501,MATCH(C376,'가격표'!$A$2:$A$501,0),MATCH(E376,'가격표'!$D$1:$K$1,0))="","",INDEX('가격표'!$D$2:$K$501,MATCH(C376,'가격표'!$A$2:$A$501,0),MATCH(E376,'가격표'!$D$1:$K$1,0))),""))</f>
        <v/>
      </c>
      <c r="K376" s="4">
        <f>IF(C376="","",IFERROR(INDEX('판매구성'!$D$2:$D$501,MATCH(C376,'판매구성'!$A$2:$A$501,0)),""))</f>
        <v/>
      </c>
      <c r="L376" s="4">
        <f>IF(OR(J376="",K376=""),"",ROUND(J376-(J376-K376)*'설정'!$B$2,0))</f>
        <v/>
      </c>
      <c r="M376" s="4">
        <f>IF(OR(A376="",J376=""),"",ROUND(J376*N(IFERROR(INDEX('판매채널'!$F$2:$F$501,MATCH(A376,'판매채널'!$A$2:$A$501,0)),"")),0))</f>
        <v/>
      </c>
      <c r="N376" s="4">
        <f>IF(OR(J376="",K376=""),"",J376-M376-K376)</f>
        <v/>
      </c>
      <c r="O376" s="5">
        <f>IF(OR(J376="",J376=0),"",N376/J376)</f>
        <v/>
      </c>
    </row>
    <row r="377">
      <c r="B377" s="2">
        <f>IF(A377="","",IFERROR(INDEX('판매채널'!$B$2:$B$501,MATCH(A377,'판매채널'!$A$2:$A$501,0)),""))</f>
        <v/>
      </c>
      <c r="D377" s="2">
        <f>IF(C377="","",IFERROR(INDEX('판매구성'!$B$2:$B$501,MATCH(C377,'판매구성'!$A$2:$A$501,0)),""))</f>
        <v/>
      </c>
      <c r="G377" s="3" t="n"/>
      <c r="I377" s="2">
        <f>IF(C377="","",IFERROR(INDEX('판매구성'!$C$2:$C$501,MATCH(C377,'판매구성'!$A$2:$A$501,0)),""))</f>
        <v/>
      </c>
      <c r="J377" s="4">
        <f>IF(OR(C377="",E377=""),"",IFERROR(IF(INDEX('가격표'!$D$2:$K$501,MATCH(C377,'가격표'!$A$2:$A$501,0),MATCH(E377,'가격표'!$D$1:$K$1,0))="","",INDEX('가격표'!$D$2:$K$501,MATCH(C377,'가격표'!$A$2:$A$501,0),MATCH(E377,'가격표'!$D$1:$K$1,0))),""))</f>
        <v/>
      </c>
      <c r="K377" s="4">
        <f>IF(C377="","",IFERROR(INDEX('판매구성'!$D$2:$D$501,MATCH(C377,'판매구성'!$A$2:$A$501,0)),""))</f>
        <v/>
      </c>
      <c r="L377" s="4">
        <f>IF(OR(J377="",K377=""),"",ROUND(J377-(J377-K377)*'설정'!$B$2,0))</f>
        <v/>
      </c>
      <c r="M377" s="4">
        <f>IF(OR(A377="",J377=""),"",ROUND(J377*N(IFERROR(INDEX('판매채널'!$F$2:$F$501,MATCH(A377,'판매채널'!$A$2:$A$501,0)),"")),0))</f>
        <v/>
      </c>
      <c r="N377" s="4">
        <f>IF(OR(J377="",K377=""),"",J377-M377-K377)</f>
        <v/>
      </c>
      <c r="O377" s="5">
        <f>IF(OR(J377="",J377=0),"",N377/J377)</f>
        <v/>
      </c>
    </row>
    <row r="378">
      <c r="B378" s="2">
        <f>IF(A378="","",IFERROR(INDEX('판매채널'!$B$2:$B$501,MATCH(A378,'판매채널'!$A$2:$A$501,0)),""))</f>
        <v/>
      </c>
      <c r="D378" s="2">
        <f>IF(C378="","",IFERROR(INDEX('판매구성'!$B$2:$B$501,MATCH(C378,'판매구성'!$A$2:$A$501,0)),""))</f>
        <v/>
      </c>
      <c r="G378" s="3" t="n"/>
      <c r="I378" s="2">
        <f>IF(C378="","",IFERROR(INDEX('판매구성'!$C$2:$C$501,MATCH(C378,'판매구성'!$A$2:$A$501,0)),""))</f>
        <v/>
      </c>
      <c r="J378" s="4">
        <f>IF(OR(C378="",E378=""),"",IFERROR(IF(INDEX('가격표'!$D$2:$K$501,MATCH(C378,'가격표'!$A$2:$A$501,0),MATCH(E378,'가격표'!$D$1:$K$1,0))="","",INDEX('가격표'!$D$2:$K$501,MATCH(C378,'가격표'!$A$2:$A$501,0),MATCH(E378,'가격표'!$D$1:$K$1,0))),""))</f>
        <v/>
      </c>
      <c r="K378" s="4">
        <f>IF(C378="","",IFERROR(INDEX('판매구성'!$D$2:$D$501,MATCH(C378,'판매구성'!$A$2:$A$501,0)),""))</f>
        <v/>
      </c>
      <c r="L378" s="4">
        <f>IF(OR(J378="",K378=""),"",ROUND(J378-(J378-K378)*'설정'!$B$2,0))</f>
        <v/>
      </c>
      <c r="M378" s="4">
        <f>IF(OR(A378="",J378=""),"",ROUND(J378*N(IFERROR(INDEX('판매채널'!$F$2:$F$501,MATCH(A378,'판매채널'!$A$2:$A$501,0)),"")),0))</f>
        <v/>
      </c>
      <c r="N378" s="4">
        <f>IF(OR(J378="",K378=""),"",J378-M378-K378)</f>
        <v/>
      </c>
      <c r="O378" s="5">
        <f>IF(OR(J378="",J378=0),"",N378/J378)</f>
        <v/>
      </c>
    </row>
    <row r="379">
      <c r="B379" s="2">
        <f>IF(A379="","",IFERROR(INDEX('판매채널'!$B$2:$B$501,MATCH(A379,'판매채널'!$A$2:$A$501,0)),""))</f>
        <v/>
      </c>
      <c r="D379" s="2">
        <f>IF(C379="","",IFERROR(INDEX('판매구성'!$B$2:$B$501,MATCH(C379,'판매구성'!$A$2:$A$501,0)),""))</f>
        <v/>
      </c>
      <c r="G379" s="3" t="n"/>
      <c r="I379" s="2">
        <f>IF(C379="","",IFERROR(INDEX('판매구성'!$C$2:$C$501,MATCH(C379,'판매구성'!$A$2:$A$501,0)),""))</f>
        <v/>
      </c>
      <c r="J379" s="4">
        <f>IF(OR(C379="",E379=""),"",IFERROR(IF(INDEX('가격표'!$D$2:$K$501,MATCH(C379,'가격표'!$A$2:$A$501,0),MATCH(E379,'가격표'!$D$1:$K$1,0))="","",INDEX('가격표'!$D$2:$K$501,MATCH(C379,'가격표'!$A$2:$A$501,0),MATCH(E379,'가격표'!$D$1:$K$1,0))),""))</f>
        <v/>
      </c>
      <c r="K379" s="4">
        <f>IF(C379="","",IFERROR(INDEX('판매구성'!$D$2:$D$501,MATCH(C379,'판매구성'!$A$2:$A$501,0)),""))</f>
        <v/>
      </c>
      <c r="L379" s="4">
        <f>IF(OR(J379="",K379=""),"",ROUND(J379-(J379-K379)*'설정'!$B$2,0))</f>
        <v/>
      </c>
      <c r="M379" s="4">
        <f>IF(OR(A379="",J379=""),"",ROUND(J379*N(IFERROR(INDEX('판매채널'!$F$2:$F$501,MATCH(A379,'판매채널'!$A$2:$A$501,0)),"")),0))</f>
        <v/>
      </c>
      <c r="N379" s="4">
        <f>IF(OR(J379="",K379=""),"",J379-M379-K379)</f>
        <v/>
      </c>
      <c r="O379" s="5">
        <f>IF(OR(J379="",J379=0),"",N379/J379)</f>
        <v/>
      </c>
    </row>
    <row r="380">
      <c r="B380" s="2">
        <f>IF(A380="","",IFERROR(INDEX('판매채널'!$B$2:$B$501,MATCH(A380,'판매채널'!$A$2:$A$501,0)),""))</f>
        <v/>
      </c>
      <c r="D380" s="2">
        <f>IF(C380="","",IFERROR(INDEX('판매구성'!$B$2:$B$501,MATCH(C380,'판매구성'!$A$2:$A$501,0)),""))</f>
        <v/>
      </c>
      <c r="G380" s="3" t="n"/>
      <c r="I380" s="2">
        <f>IF(C380="","",IFERROR(INDEX('판매구성'!$C$2:$C$501,MATCH(C380,'판매구성'!$A$2:$A$501,0)),""))</f>
        <v/>
      </c>
      <c r="J380" s="4">
        <f>IF(OR(C380="",E380=""),"",IFERROR(IF(INDEX('가격표'!$D$2:$K$501,MATCH(C380,'가격표'!$A$2:$A$501,0),MATCH(E380,'가격표'!$D$1:$K$1,0))="","",INDEX('가격표'!$D$2:$K$501,MATCH(C380,'가격표'!$A$2:$A$501,0),MATCH(E380,'가격표'!$D$1:$K$1,0))),""))</f>
        <v/>
      </c>
      <c r="K380" s="4">
        <f>IF(C380="","",IFERROR(INDEX('판매구성'!$D$2:$D$501,MATCH(C380,'판매구성'!$A$2:$A$501,0)),""))</f>
        <v/>
      </c>
      <c r="L380" s="4">
        <f>IF(OR(J380="",K380=""),"",ROUND(J380-(J380-K380)*'설정'!$B$2,0))</f>
        <v/>
      </c>
      <c r="M380" s="4">
        <f>IF(OR(A380="",J380=""),"",ROUND(J380*N(IFERROR(INDEX('판매채널'!$F$2:$F$501,MATCH(A380,'판매채널'!$A$2:$A$501,0)),"")),0))</f>
        <v/>
      </c>
      <c r="N380" s="4">
        <f>IF(OR(J380="",K380=""),"",J380-M380-K380)</f>
        <v/>
      </c>
      <c r="O380" s="5">
        <f>IF(OR(J380="",J380=0),"",N380/J380)</f>
        <v/>
      </c>
    </row>
    <row r="381">
      <c r="B381" s="2">
        <f>IF(A381="","",IFERROR(INDEX('판매채널'!$B$2:$B$501,MATCH(A381,'판매채널'!$A$2:$A$501,0)),""))</f>
        <v/>
      </c>
      <c r="D381" s="2">
        <f>IF(C381="","",IFERROR(INDEX('판매구성'!$B$2:$B$501,MATCH(C381,'판매구성'!$A$2:$A$501,0)),""))</f>
        <v/>
      </c>
      <c r="G381" s="3" t="n"/>
      <c r="I381" s="2">
        <f>IF(C381="","",IFERROR(INDEX('판매구성'!$C$2:$C$501,MATCH(C381,'판매구성'!$A$2:$A$501,0)),""))</f>
        <v/>
      </c>
      <c r="J381" s="4">
        <f>IF(OR(C381="",E381=""),"",IFERROR(IF(INDEX('가격표'!$D$2:$K$501,MATCH(C381,'가격표'!$A$2:$A$501,0),MATCH(E381,'가격표'!$D$1:$K$1,0))="","",INDEX('가격표'!$D$2:$K$501,MATCH(C381,'가격표'!$A$2:$A$501,0),MATCH(E381,'가격표'!$D$1:$K$1,0))),""))</f>
        <v/>
      </c>
      <c r="K381" s="4">
        <f>IF(C381="","",IFERROR(INDEX('판매구성'!$D$2:$D$501,MATCH(C381,'판매구성'!$A$2:$A$501,0)),""))</f>
        <v/>
      </c>
      <c r="L381" s="4">
        <f>IF(OR(J381="",K381=""),"",ROUND(J381-(J381-K381)*'설정'!$B$2,0))</f>
        <v/>
      </c>
      <c r="M381" s="4">
        <f>IF(OR(A381="",J381=""),"",ROUND(J381*N(IFERROR(INDEX('판매채널'!$F$2:$F$501,MATCH(A381,'판매채널'!$A$2:$A$501,0)),"")),0))</f>
        <v/>
      </c>
      <c r="N381" s="4">
        <f>IF(OR(J381="",K381=""),"",J381-M381-K381)</f>
        <v/>
      </c>
      <c r="O381" s="5">
        <f>IF(OR(J381="",J381=0),"",N381/J381)</f>
        <v/>
      </c>
    </row>
    <row r="382">
      <c r="B382" s="2">
        <f>IF(A382="","",IFERROR(INDEX('판매채널'!$B$2:$B$501,MATCH(A382,'판매채널'!$A$2:$A$501,0)),""))</f>
        <v/>
      </c>
      <c r="D382" s="2">
        <f>IF(C382="","",IFERROR(INDEX('판매구성'!$B$2:$B$501,MATCH(C382,'판매구성'!$A$2:$A$501,0)),""))</f>
        <v/>
      </c>
      <c r="G382" s="3" t="n"/>
      <c r="I382" s="2">
        <f>IF(C382="","",IFERROR(INDEX('판매구성'!$C$2:$C$501,MATCH(C382,'판매구성'!$A$2:$A$501,0)),""))</f>
        <v/>
      </c>
      <c r="J382" s="4">
        <f>IF(OR(C382="",E382=""),"",IFERROR(IF(INDEX('가격표'!$D$2:$K$501,MATCH(C382,'가격표'!$A$2:$A$501,0),MATCH(E382,'가격표'!$D$1:$K$1,0))="","",INDEX('가격표'!$D$2:$K$501,MATCH(C382,'가격표'!$A$2:$A$501,0),MATCH(E382,'가격표'!$D$1:$K$1,0))),""))</f>
        <v/>
      </c>
      <c r="K382" s="4">
        <f>IF(C382="","",IFERROR(INDEX('판매구성'!$D$2:$D$501,MATCH(C382,'판매구성'!$A$2:$A$501,0)),""))</f>
        <v/>
      </c>
      <c r="L382" s="4">
        <f>IF(OR(J382="",K382=""),"",ROUND(J382-(J382-K382)*'설정'!$B$2,0))</f>
        <v/>
      </c>
      <c r="M382" s="4">
        <f>IF(OR(A382="",J382=""),"",ROUND(J382*N(IFERROR(INDEX('판매채널'!$F$2:$F$501,MATCH(A382,'판매채널'!$A$2:$A$501,0)),"")),0))</f>
        <v/>
      </c>
      <c r="N382" s="4">
        <f>IF(OR(J382="",K382=""),"",J382-M382-K382)</f>
        <v/>
      </c>
      <c r="O382" s="5">
        <f>IF(OR(J382="",J382=0),"",N382/J382)</f>
        <v/>
      </c>
    </row>
    <row r="383">
      <c r="B383" s="2">
        <f>IF(A383="","",IFERROR(INDEX('판매채널'!$B$2:$B$501,MATCH(A383,'판매채널'!$A$2:$A$501,0)),""))</f>
        <v/>
      </c>
      <c r="D383" s="2">
        <f>IF(C383="","",IFERROR(INDEX('판매구성'!$B$2:$B$501,MATCH(C383,'판매구성'!$A$2:$A$501,0)),""))</f>
        <v/>
      </c>
      <c r="G383" s="3" t="n"/>
      <c r="I383" s="2">
        <f>IF(C383="","",IFERROR(INDEX('판매구성'!$C$2:$C$501,MATCH(C383,'판매구성'!$A$2:$A$501,0)),""))</f>
        <v/>
      </c>
      <c r="J383" s="4">
        <f>IF(OR(C383="",E383=""),"",IFERROR(IF(INDEX('가격표'!$D$2:$K$501,MATCH(C383,'가격표'!$A$2:$A$501,0),MATCH(E383,'가격표'!$D$1:$K$1,0))="","",INDEX('가격표'!$D$2:$K$501,MATCH(C383,'가격표'!$A$2:$A$501,0),MATCH(E383,'가격표'!$D$1:$K$1,0))),""))</f>
        <v/>
      </c>
      <c r="K383" s="4">
        <f>IF(C383="","",IFERROR(INDEX('판매구성'!$D$2:$D$501,MATCH(C383,'판매구성'!$A$2:$A$501,0)),""))</f>
        <v/>
      </c>
      <c r="L383" s="4">
        <f>IF(OR(J383="",K383=""),"",ROUND(J383-(J383-K383)*'설정'!$B$2,0))</f>
        <v/>
      </c>
      <c r="M383" s="4">
        <f>IF(OR(A383="",J383=""),"",ROUND(J383*N(IFERROR(INDEX('판매채널'!$F$2:$F$501,MATCH(A383,'판매채널'!$A$2:$A$501,0)),"")),0))</f>
        <v/>
      </c>
      <c r="N383" s="4">
        <f>IF(OR(J383="",K383=""),"",J383-M383-K383)</f>
        <v/>
      </c>
      <c r="O383" s="5">
        <f>IF(OR(J383="",J383=0),"",N383/J383)</f>
        <v/>
      </c>
    </row>
    <row r="384">
      <c r="B384" s="2">
        <f>IF(A384="","",IFERROR(INDEX('판매채널'!$B$2:$B$501,MATCH(A384,'판매채널'!$A$2:$A$501,0)),""))</f>
        <v/>
      </c>
      <c r="D384" s="2">
        <f>IF(C384="","",IFERROR(INDEX('판매구성'!$B$2:$B$501,MATCH(C384,'판매구성'!$A$2:$A$501,0)),""))</f>
        <v/>
      </c>
      <c r="G384" s="3" t="n"/>
      <c r="I384" s="2">
        <f>IF(C384="","",IFERROR(INDEX('판매구성'!$C$2:$C$501,MATCH(C384,'판매구성'!$A$2:$A$501,0)),""))</f>
        <v/>
      </c>
      <c r="J384" s="4">
        <f>IF(OR(C384="",E384=""),"",IFERROR(IF(INDEX('가격표'!$D$2:$K$501,MATCH(C384,'가격표'!$A$2:$A$501,0),MATCH(E384,'가격표'!$D$1:$K$1,0))="","",INDEX('가격표'!$D$2:$K$501,MATCH(C384,'가격표'!$A$2:$A$501,0),MATCH(E384,'가격표'!$D$1:$K$1,0))),""))</f>
        <v/>
      </c>
      <c r="K384" s="4">
        <f>IF(C384="","",IFERROR(INDEX('판매구성'!$D$2:$D$501,MATCH(C384,'판매구성'!$A$2:$A$501,0)),""))</f>
        <v/>
      </c>
      <c r="L384" s="4">
        <f>IF(OR(J384="",K384=""),"",ROUND(J384-(J384-K384)*'설정'!$B$2,0))</f>
        <v/>
      </c>
      <c r="M384" s="4">
        <f>IF(OR(A384="",J384=""),"",ROUND(J384*N(IFERROR(INDEX('판매채널'!$F$2:$F$501,MATCH(A384,'판매채널'!$A$2:$A$501,0)),"")),0))</f>
        <v/>
      </c>
      <c r="N384" s="4">
        <f>IF(OR(J384="",K384=""),"",J384-M384-K384)</f>
        <v/>
      </c>
      <c r="O384" s="5">
        <f>IF(OR(J384="",J384=0),"",N384/J384)</f>
        <v/>
      </c>
    </row>
    <row r="385">
      <c r="B385" s="2">
        <f>IF(A385="","",IFERROR(INDEX('판매채널'!$B$2:$B$501,MATCH(A385,'판매채널'!$A$2:$A$501,0)),""))</f>
        <v/>
      </c>
      <c r="D385" s="2">
        <f>IF(C385="","",IFERROR(INDEX('판매구성'!$B$2:$B$501,MATCH(C385,'판매구성'!$A$2:$A$501,0)),""))</f>
        <v/>
      </c>
      <c r="G385" s="3" t="n"/>
      <c r="I385" s="2">
        <f>IF(C385="","",IFERROR(INDEX('판매구성'!$C$2:$C$501,MATCH(C385,'판매구성'!$A$2:$A$501,0)),""))</f>
        <v/>
      </c>
      <c r="J385" s="4">
        <f>IF(OR(C385="",E385=""),"",IFERROR(IF(INDEX('가격표'!$D$2:$K$501,MATCH(C385,'가격표'!$A$2:$A$501,0),MATCH(E385,'가격표'!$D$1:$K$1,0))="","",INDEX('가격표'!$D$2:$K$501,MATCH(C385,'가격표'!$A$2:$A$501,0),MATCH(E385,'가격표'!$D$1:$K$1,0))),""))</f>
        <v/>
      </c>
      <c r="K385" s="4">
        <f>IF(C385="","",IFERROR(INDEX('판매구성'!$D$2:$D$501,MATCH(C385,'판매구성'!$A$2:$A$501,0)),""))</f>
        <v/>
      </c>
      <c r="L385" s="4">
        <f>IF(OR(J385="",K385=""),"",ROUND(J385-(J385-K385)*'설정'!$B$2,0))</f>
        <v/>
      </c>
      <c r="M385" s="4">
        <f>IF(OR(A385="",J385=""),"",ROUND(J385*N(IFERROR(INDEX('판매채널'!$F$2:$F$501,MATCH(A385,'판매채널'!$A$2:$A$501,0)),"")),0))</f>
        <v/>
      </c>
      <c r="N385" s="4">
        <f>IF(OR(J385="",K385=""),"",J385-M385-K385)</f>
        <v/>
      </c>
      <c r="O385" s="5">
        <f>IF(OR(J385="",J385=0),"",N385/J385)</f>
        <v/>
      </c>
    </row>
    <row r="386">
      <c r="B386" s="2">
        <f>IF(A386="","",IFERROR(INDEX('판매채널'!$B$2:$B$501,MATCH(A386,'판매채널'!$A$2:$A$501,0)),""))</f>
        <v/>
      </c>
      <c r="D386" s="2">
        <f>IF(C386="","",IFERROR(INDEX('판매구성'!$B$2:$B$501,MATCH(C386,'판매구성'!$A$2:$A$501,0)),""))</f>
        <v/>
      </c>
      <c r="G386" s="3" t="n"/>
      <c r="I386" s="2">
        <f>IF(C386="","",IFERROR(INDEX('판매구성'!$C$2:$C$501,MATCH(C386,'판매구성'!$A$2:$A$501,0)),""))</f>
        <v/>
      </c>
      <c r="J386" s="4">
        <f>IF(OR(C386="",E386=""),"",IFERROR(IF(INDEX('가격표'!$D$2:$K$501,MATCH(C386,'가격표'!$A$2:$A$501,0),MATCH(E386,'가격표'!$D$1:$K$1,0))="","",INDEX('가격표'!$D$2:$K$501,MATCH(C386,'가격표'!$A$2:$A$501,0),MATCH(E386,'가격표'!$D$1:$K$1,0))),""))</f>
        <v/>
      </c>
      <c r="K386" s="4">
        <f>IF(C386="","",IFERROR(INDEX('판매구성'!$D$2:$D$501,MATCH(C386,'판매구성'!$A$2:$A$501,0)),""))</f>
        <v/>
      </c>
      <c r="L386" s="4">
        <f>IF(OR(J386="",K386=""),"",ROUND(J386-(J386-K386)*'설정'!$B$2,0))</f>
        <v/>
      </c>
      <c r="M386" s="4">
        <f>IF(OR(A386="",J386=""),"",ROUND(J386*N(IFERROR(INDEX('판매채널'!$F$2:$F$501,MATCH(A386,'판매채널'!$A$2:$A$501,0)),"")),0))</f>
        <v/>
      </c>
      <c r="N386" s="4">
        <f>IF(OR(J386="",K386=""),"",J386-M386-K386)</f>
        <v/>
      </c>
      <c r="O386" s="5">
        <f>IF(OR(J386="",J386=0),"",N386/J386)</f>
        <v/>
      </c>
    </row>
    <row r="387">
      <c r="B387" s="2">
        <f>IF(A387="","",IFERROR(INDEX('판매채널'!$B$2:$B$501,MATCH(A387,'판매채널'!$A$2:$A$501,0)),""))</f>
        <v/>
      </c>
      <c r="D387" s="2">
        <f>IF(C387="","",IFERROR(INDEX('판매구성'!$B$2:$B$501,MATCH(C387,'판매구성'!$A$2:$A$501,0)),""))</f>
        <v/>
      </c>
      <c r="G387" s="3" t="n"/>
      <c r="I387" s="2">
        <f>IF(C387="","",IFERROR(INDEX('판매구성'!$C$2:$C$501,MATCH(C387,'판매구성'!$A$2:$A$501,0)),""))</f>
        <v/>
      </c>
      <c r="J387" s="4">
        <f>IF(OR(C387="",E387=""),"",IFERROR(IF(INDEX('가격표'!$D$2:$K$501,MATCH(C387,'가격표'!$A$2:$A$501,0),MATCH(E387,'가격표'!$D$1:$K$1,0))="","",INDEX('가격표'!$D$2:$K$501,MATCH(C387,'가격표'!$A$2:$A$501,0),MATCH(E387,'가격표'!$D$1:$K$1,0))),""))</f>
        <v/>
      </c>
      <c r="K387" s="4">
        <f>IF(C387="","",IFERROR(INDEX('판매구성'!$D$2:$D$501,MATCH(C387,'판매구성'!$A$2:$A$501,0)),""))</f>
        <v/>
      </c>
      <c r="L387" s="4">
        <f>IF(OR(J387="",K387=""),"",ROUND(J387-(J387-K387)*'설정'!$B$2,0))</f>
        <v/>
      </c>
      <c r="M387" s="4">
        <f>IF(OR(A387="",J387=""),"",ROUND(J387*N(IFERROR(INDEX('판매채널'!$F$2:$F$501,MATCH(A387,'판매채널'!$A$2:$A$501,0)),"")),0))</f>
        <v/>
      </c>
      <c r="N387" s="4">
        <f>IF(OR(J387="",K387=""),"",J387-M387-K387)</f>
        <v/>
      </c>
      <c r="O387" s="5">
        <f>IF(OR(J387="",J387=0),"",N387/J387)</f>
        <v/>
      </c>
    </row>
    <row r="388">
      <c r="B388" s="2">
        <f>IF(A388="","",IFERROR(INDEX('판매채널'!$B$2:$B$501,MATCH(A388,'판매채널'!$A$2:$A$501,0)),""))</f>
        <v/>
      </c>
      <c r="D388" s="2">
        <f>IF(C388="","",IFERROR(INDEX('판매구성'!$B$2:$B$501,MATCH(C388,'판매구성'!$A$2:$A$501,0)),""))</f>
        <v/>
      </c>
      <c r="G388" s="3" t="n"/>
      <c r="I388" s="2">
        <f>IF(C388="","",IFERROR(INDEX('판매구성'!$C$2:$C$501,MATCH(C388,'판매구성'!$A$2:$A$501,0)),""))</f>
        <v/>
      </c>
      <c r="J388" s="4">
        <f>IF(OR(C388="",E388=""),"",IFERROR(IF(INDEX('가격표'!$D$2:$K$501,MATCH(C388,'가격표'!$A$2:$A$501,0),MATCH(E388,'가격표'!$D$1:$K$1,0))="","",INDEX('가격표'!$D$2:$K$501,MATCH(C388,'가격표'!$A$2:$A$501,0),MATCH(E388,'가격표'!$D$1:$K$1,0))),""))</f>
        <v/>
      </c>
      <c r="K388" s="4">
        <f>IF(C388="","",IFERROR(INDEX('판매구성'!$D$2:$D$501,MATCH(C388,'판매구성'!$A$2:$A$501,0)),""))</f>
        <v/>
      </c>
      <c r="L388" s="4">
        <f>IF(OR(J388="",K388=""),"",ROUND(J388-(J388-K388)*'설정'!$B$2,0))</f>
        <v/>
      </c>
      <c r="M388" s="4">
        <f>IF(OR(A388="",J388=""),"",ROUND(J388*N(IFERROR(INDEX('판매채널'!$F$2:$F$501,MATCH(A388,'판매채널'!$A$2:$A$501,0)),"")),0))</f>
        <v/>
      </c>
      <c r="N388" s="4">
        <f>IF(OR(J388="",K388=""),"",J388-M388-K388)</f>
        <v/>
      </c>
      <c r="O388" s="5">
        <f>IF(OR(J388="",J388=0),"",N388/J388)</f>
        <v/>
      </c>
    </row>
    <row r="389">
      <c r="B389" s="2">
        <f>IF(A389="","",IFERROR(INDEX('판매채널'!$B$2:$B$501,MATCH(A389,'판매채널'!$A$2:$A$501,0)),""))</f>
        <v/>
      </c>
      <c r="D389" s="2">
        <f>IF(C389="","",IFERROR(INDEX('판매구성'!$B$2:$B$501,MATCH(C389,'판매구성'!$A$2:$A$501,0)),""))</f>
        <v/>
      </c>
      <c r="G389" s="3" t="n"/>
      <c r="I389" s="2">
        <f>IF(C389="","",IFERROR(INDEX('판매구성'!$C$2:$C$501,MATCH(C389,'판매구성'!$A$2:$A$501,0)),""))</f>
        <v/>
      </c>
      <c r="J389" s="4">
        <f>IF(OR(C389="",E389=""),"",IFERROR(IF(INDEX('가격표'!$D$2:$K$501,MATCH(C389,'가격표'!$A$2:$A$501,0),MATCH(E389,'가격표'!$D$1:$K$1,0))="","",INDEX('가격표'!$D$2:$K$501,MATCH(C389,'가격표'!$A$2:$A$501,0),MATCH(E389,'가격표'!$D$1:$K$1,0))),""))</f>
        <v/>
      </c>
      <c r="K389" s="4">
        <f>IF(C389="","",IFERROR(INDEX('판매구성'!$D$2:$D$501,MATCH(C389,'판매구성'!$A$2:$A$501,0)),""))</f>
        <v/>
      </c>
      <c r="L389" s="4">
        <f>IF(OR(J389="",K389=""),"",ROUND(J389-(J389-K389)*'설정'!$B$2,0))</f>
        <v/>
      </c>
      <c r="M389" s="4">
        <f>IF(OR(A389="",J389=""),"",ROUND(J389*N(IFERROR(INDEX('판매채널'!$F$2:$F$501,MATCH(A389,'판매채널'!$A$2:$A$501,0)),"")),0))</f>
        <v/>
      </c>
      <c r="N389" s="4">
        <f>IF(OR(J389="",K389=""),"",J389-M389-K389)</f>
        <v/>
      </c>
      <c r="O389" s="5">
        <f>IF(OR(J389="",J389=0),"",N389/J389)</f>
        <v/>
      </c>
    </row>
    <row r="390">
      <c r="B390" s="2">
        <f>IF(A390="","",IFERROR(INDEX('판매채널'!$B$2:$B$501,MATCH(A390,'판매채널'!$A$2:$A$501,0)),""))</f>
        <v/>
      </c>
      <c r="D390" s="2">
        <f>IF(C390="","",IFERROR(INDEX('판매구성'!$B$2:$B$501,MATCH(C390,'판매구성'!$A$2:$A$501,0)),""))</f>
        <v/>
      </c>
      <c r="G390" s="3" t="n"/>
      <c r="I390" s="2">
        <f>IF(C390="","",IFERROR(INDEX('판매구성'!$C$2:$C$501,MATCH(C390,'판매구성'!$A$2:$A$501,0)),""))</f>
        <v/>
      </c>
      <c r="J390" s="4">
        <f>IF(OR(C390="",E390=""),"",IFERROR(IF(INDEX('가격표'!$D$2:$K$501,MATCH(C390,'가격표'!$A$2:$A$501,0),MATCH(E390,'가격표'!$D$1:$K$1,0))="","",INDEX('가격표'!$D$2:$K$501,MATCH(C390,'가격표'!$A$2:$A$501,0),MATCH(E390,'가격표'!$D$1:$K$1,0))),""))</f>
        <v/>
      </c>
      <c r="K390" s="4">
        <f>IF(C390="","",IFERROR(INDEX('판매구성'!$D$2:$D$501,MATCH(C390,'판매구성'!$A$2:$A$501,0)),""))</f>
        <v/>
      </c>
      <c r="L390" s="4">
        <f>IF(OR(J390="",K390=""),"",ROUND(J390-(J390-K390)*'설정'!$B$2,0))</f>
        <v/>
      </c>
      <c r="M390" s="4">
        <f>IF(OR(A390="",J390=""),"",ROUND(J390*N(IFERROR(INDEX('판매채널'!$F$2:$F$501,MATCH(A390,'판매채널'!$A$2:$A$501,0)),"")),0))</f>
        <v/>
      </c>
      <c r="N390" s="4">
        <f>IF(OR(J390="",K390=""),"",J390-M390-K390)</f>
        <v/>
      </c>
      <c r="O390" s="5">
        <f>IF(OR(J390="",J390=0),"",N390/J390)</f>
        <v/>
      </c>
    </row>
    <row r="391">
      <c r="B391" s="2">
        <f>IF(A391="","",IFERROR(INDEX('판매채널'!$B$2:$B$501,MATCH(A391,'판매채널'!$A$2:$A$501,0)),""))</f>
        <v/>
      </c>
      <c r="D391" s="2">
        <f>IF(C391="","",IFERROR(INDEX('판매구성'!$B$2:$B$501,MATCH(C391,'판매구성'!$A$2:$A$501,0)),""))</f>
        <v/>
      </c>
      <c r="G391" s="3" t="n"/>
      <c r="I391" s="2">
        <f>IF(C391="","",IFERROR(INDEX('판매구성'!$C$2:$C$501,MATCH(C391,'판매구성'!$A$2:$A$501,0)),""))</f>
        <v/>
      </c>
      <c r="J391" s="4">
        <f>IF(OR(C391="",E391=""),"",IFERROR(IF(INDEX('가격표'!$D$2:$K$501,MATCH(C391,'가격표'!$A$2:$A$501,0),MATCH(E391,'가격표'!$D$1:$K$1,0))="","",INDEX('가격표'!$D$2:$K$501,MATCH(C391,'가격표'!$A$2:$A$501,0),MATCH(E391,'가격표'!$D$1:$K$1,0))),""))</f>
        <v/>
      </c>
      <c r="K391" s="4">
        <f>IF(C391="","",IFERROR(INDEX('판매구성'!$D$2:$D$501,MATCH(C391,'판매구성'!$A$2:$A$501,0)),""))</f>
        <v/>
      </c>
      <c r="L391" s="4">
        <f>IF(OR(J391="",K391=""),"",ROUND(J391-(J391-K391)*'설정'!$B$2,0))</f>
        <v/>
      </c>
      <c r="M391" s="4">
        <f>IF(OR(A391="",J391=""),"",ROUND(J391*N(IFERROR(INDEX('판매채널'!$F$2:$F$501,MATCH(A391,'판매채널'!$A$2:$A$501,0)),"")),0))</f>
        <v/>
      </c>
      <c r="N391" s="4">
        <f>IF(OR(J391="",K391=""),"",J391-M391-K391)</f>
        <v/>
      </c>
      <c r="O391" s="5">
        <f>IF(OR(J391="",J391=0),"",N391/J391)</f>
        <v/>
      </c>
    </row>
    <row r="392">
      <c r="B392" s="2">
        <f>IF(A392="","",IFERROR(INDEX('판매채널'!$B$2:$B$501,MATCH(A392,'판매채널'!$A$2:$A$501,0)),""))</f>
        <v/>
      </c>
      <c r="D392" s="2">
        <f>IF(C392="","",IFERROR(INDEX('판매구성'!$B$2:$B$501,MATCH(C392,'판매구성'!$A$2:$A$501,0)),""))</f>
        <v/>
      </c>
      <c r="G392" s="3" t="n"/>
      <c r="I392" s="2">
        <f>IF(C392="","",IFERROR(INDEX('판매구성'!$C$2:$C$501,MATCH(C392,'판매구성'!$A$2:$A$501,0)),""))</f>
        <v/>
      </c>
      <c r="J392" s="4">
        <f>IF(OR(C392="",E392=""),"",IFERROR(IF(INDEX('가격표'!$D$2:$K$501,MATCH(C392,'가격표'!$A$2:$A$501,0),MATCH(E392,'가격표'!$D$1:$K$1,0))="","",INDEX('가격표'!$D$2:$K$501,MATCH(C392,'가격표'!$A$2:$A$501,0),MATCH(E392,'가격표'!$D$1:$K$1,0))),""))</f>
        <v/>
      </c>
      <c r="K392" s="4">
        <f>IF(C392="","",IFERROR(INDEX('판매구성'!$D$2:$D$501,MATCH(C392,'판매구성'!$A$2:$A$501,0)),""))</f>
        <v/>
      </c>
      <c r="L392" s="4">
        <f>IF(OR(J392="",K392=""),"",ROUND(J392-(J392-K392)*'설정'!$B$2,0))</f>
        <v/>
      </c>
      <c r="M392" s="4">
        <f>IF(OR(A392="",J392=""),"",ROUND(J392*N(IFERROR(INDEX('판매채널'!$F$2:$F$501,MATCH(A392,'판매채널'!$A$2:$A$501,0)),"")),0))</f>
        <v/>
      </c>
      <c r="N392" s="4">
        <f>IF(OR(J392="",K392=""),"",J392-M392-K392)</f>
        <v/>
      </c>
      <c r="O392" s="5">
        <f>IF(OR(J392="",J392=0),"",N392/J392)</f>
        <v/>
      </c>
    </row>
    <row r="393">
      <c r="B393" s="2">
        <f>IF(A393="","",IFERROR(INDEX('판매채널'!$B$2:$B$501,MATCH(A393,'판매채널'!$A$2:$A$501,0)),""))</f>
        <v/>
      </c>
      <c r="D393" s="2">
        <f>IF(C393="","",IFERROR(INDEX('판매구성'!$B$2:$B$501,MATCH(C393,'판매구성'!$A$2:$A$501,0)),""))</f>
        <v/>
      </c>
      <c r="G393" s="3" t="n"/>
      <c r="I393" s="2">
        <f>IF(C393="","",IFERROR(INDEX('판매구성'!$C$2:$C$501,MATCH(C393,'판매구성'!$A$2:$A$501,0)),""))</f>
        <v/>
      </c>
      <c r="J393" s="4">
        <f>IF(OR(C393="",E393=""),"",IFERROR(IF(INDEX('가격표'!$D$2:$K$501,MATCH(C393,'가격표'!$A$2:$A$501,0),MATCH(E393,'가격표'!$D$1:$K$1,0))="","",INDEX('가격표'!$D$2:$K$501,MATCH(C393,'가격표'!$A$2:$A$501,0),MATCH(E393,'가격표'!$D$1:$K$1,0))),""))</f>
        <v/>
      </c>
      <c r="K393" s="4">
        <f>IF(C393="","",IFERROR(INDEX('판매구성'!$D$2:$D$501,MATCH(C393,'판매구성'!$A$2:$A$501,0)),""))</f>
        <v/>
      </c>
      <c r="L393" s="4">
        <f>IF(OR(J393="",K393=""),"",ROUND(J393-(J393-K393)*'설정'!$B$2,0))</f>
        <v/>
      </c>
      <c r="M393" s="4">
        <f>IF(OR(A393="",J393=""),"",ROUND(J393*N(IFERROR(INDEX('판매채널'!$F$2:$F$501,MATCH(A393,'판매채널'!$A$2:$A$501,0)),"")),0))</f>
        <v/>
      </c>
      <c r="N393" s="4">
        <f>IF(OR(J393="",K393=""),"",J393-M393-K393)</f>
        <v/>
      </c>
      <c r="O393" s="5">
        <f>IF(OR(J393="",J393=0),"",N393/J393)</f>
        <v/>
      </c>
    </row>
    <row r="394">
      <c r="B394" s="2">
        <f>IF(A394="","",IFERROR(INDEX('판매채널'!$B$2:$B$501,MATCH(A394,'판매채널'!$A$2:$A$501,0)),""))</f>
        <v/>
      </c>
      <c r="D394" s="2">
        <f>IF(C394="","",IFERROR(INDEX('판매구성'!$B$2:$B$501,MATCH(C394,'판매구성'!$A$2:$A$501,0)),""))</f>
        <v/>
      </c>
      <c r="G394" s="3" t="n"/>
      <c r="I394" s="2">
        <f>IF(C394="","",IFERROR(INDEX('판매구성'!$C$2:$C$501,MATCH(C394,'판매구성'!$A$2:$A$501,0)),""))</f>
        <v/>
      </c>
      <c r="J394" s="4">
        <f>IF(OR(C394="",E394=""),"",IFERROR(IF(INDEX('가격표'!$D$2:$K$501,MATCH(C394,'가격표'!$A$2:$A$501,0),MATCH(E394,'가격표'!$D$1:$K$1,0))="","",INDEX('가격표'!$D$2:$K$501,MATCH(C394,'가격표'!$A$2:$A$501,0),MATCH(E394,'가격표'!$D$1:$K$1,0))),""))</f>
        <v/>
      </c>
      <c r="K394" s="4">
        <f>IF(C394="","",IFERROR(INDEX('판매구성'!$D$2:$D$501,MATCH(C394,'판매구성'!$A$2:$A$501,0)),""))</f>
        <v/>
      </c>
      <c r="L394" s="4">
        <f>IF(OR(J394="",K394=""),"",ROUND(J394-(J394-K394)*'설정'!$B$2,0))</f>
        <v/>
      </c>
      <c r="M394" s="4">
        <f>IF(OR(A394="",J394=""),"",ROUND(J394*N(IFERROR(INDEX('판매채널'!$F$2:$F$501,MATCH(A394,'판매채널'!$A$2:$A$501,0)),"")),0))</f>
        <v/>
      </c>
      <c r="N394" s="4">
        <f>IF(OR(J394="",K394=""),"",J394-M394-K394)</f>
        <v/>
      </c>
      <c r="O394" s="5">
        <f>IF(OR(J394="",J394=0),"",N394/J394)</f>
        <v/>
      </c>
    </row>
    <row r="395">
      <c r="B395" s="2">
        <f>IF(A395="","",IFERROR(INDEX('판매채널'!$B$2:$B$501,MATCH(A395,'판매채널'!$A$2:$A$501,0)),""))</f>
        <v/>
      </c>
      <c r="D395" s="2">
        <f>IF(C395="","",IFERROR(INDEX('판매구성'!$B$2:$B$501,MATCH(C395,'판매구성'!$A$2:$A$501,0)),""))</f>
        <v/>
      </c>
      <c r="G395" s="3" t="n"/>
      <c r="I395" s="2">
        <f>IF(C395="","",IFERROR(INDEX('판매구성'!$C$2:$C$501,MATCH(C395,'판매구성'!$A$2:$A$501,0)),""))</f>
        <v/>
      </c>
      <c r="J395" s="4">
        <f>IF(OR(C395="",E395=""),"",IFERROR(IF(INDEX('가격표'!$D$2:$K$501,MATCH(C395,'가격표'!$A$2:$A$501,0),MATCH(E395,'가격표'!$D$1:$K$1,0))="","",INDEX('가격표'!$D$2:$K$501,MATCH(C395,'가격표'!$A$2:$A$501,0),MATCH(E395,'가격표'!$D$1:$K$1,0))),""))</f>
        <v/>
      </c>
      <c r="K395" s="4">
        <f>IF(C395="","",IFERROR(INDEX('판매구성'!$D$2:$D$501,MATCH(C395,'판매구성'!$A$2:$A$501,0)),""))</f>
        <v/>
      </c>
      <c r="L395" s="4">
        <f>IF(OR(J395="",K395=""),"",ROUND(J395-(J395-K395)*'설정'!$B$2,0))</f>
        <v/>
      </c>
      <c r="M395" s="4">
        <f>IF(OR(A395="",J395=""),"",ROUND(J395*N(IFERROR(INDEX('판매채널'!$F$2:$F$501,MATCH(A395,'판매채널'!$A$2:$A$501,0)),"")),0))</f>
        <v/>
      </c>
      <c r="N395" s="4">
        <f>IF(OR(J395="",K395=""),"",J395-M395-K395)</f>
        <v/>
      </c>
      <c r="O395" s="5">
        <f>IF(OR(J395="",J395=0),"",N395/J395)</f>
        <v/>
      </c>
    </row>
    <row r="396">
      <c r="B396" s="2">
        <f>IF(A396="","",IFERROR(INDEX('판매채널'!$B$2:$B$501,MATCH(A396,'판매채널'!$A$2:$A$501,0)),""))</f>
        <v/>
      </c>
      <c r="D396" s="2">
        <f>IF(C396="","",IFERROR(INDEX('판매구성'!$B$2:$B$501,MATCH(C396,'판매구성'!$A$2:$A$501,0)),""))</f>
        <v/>
      </c>
      <c r="G396" s="3" t="n"/>
      <c r="I396" s="2">
        <f>IF(C396="","",IFERROR(INDEX('판매구성'!$C$2:$C$501,MATCH(C396,'판매구성'!$A$2:$A$501,0)),""))</f>
        <v/>
      </c>
      <c r="J396" s="4">
        <f>IF(OR(C396="",E396=""),"",IFERROR(IF(INDEX('가격표'!$D$2:$K$501,MATCH(C396,'가격표'!$A$2:$A$501,0),MATCH(E396,'가격표'!$D$1:$K$1,0))="","",INDEX('가격표'!$D$2:$K$501,MATCH(C396,'가격표'!$A$2:$A$501,0),MATCH(E396,'가격표'!$D$1:$K$1,0))),""))</f>
        <v/>
      </c>
      <c r="K396" s="4">
        <f>IF(C396="","",IFERROR(INDEX('판매구성'!$D$2:$D$501,MATCH(C396,'판매구성'!$A$2:$A$501,0)),""))</f>
        <v/>
      </c>
      <c r="L396" s="4">
        <f>IF(OR(J396="",K396=""),"",ROUND(J396-(J396-K396)*'설정'!$B$2,0))</f>
        <v/>
      </c>
      <c r="M396" s="4">
        <f>IF(OR(A396="",J396=""),"",ROUND(J396*N(IFERROR(INDEX('판매채널'!$F$2:$F$501,MATCH(A396,'판매채널'!$A$2:$A$501,0)),"")),0))</f>
        <v/>
      </c>
      <c r="N396" s="4">
        <f>IF(OR(J396="",K396=""),"",J396-M396-K396)</f>
        <v/>
      </c>
      <c r="O396" s="5">
        <f>IF(OR(J396="",J396=0),"",N396/J396)</f>
        <v/>
      </c>
    </row>
    <row r="397">
      <c r="B397" s="2">
        <f>IF(A397="","",IFERROR(INDEX('판매채널'!$B$2:$B$501,MATCH(A397,'판매채널'!$A$2:$A$501,0)),""))</f>
        <v/>
      </c>
      <c r="D397" s="2">
        <f>IF(C397="","",IFERROR(INDEX('판매구성'!$B$2:$B$501,MATCH(C397,'판매구성'!$A$2:$A$501,0)),""))</f>
        <v/>
      </c>
      <c r="G397" s="3" t="n"/>
      <c r="I397" s="2">
        <f>IF(C397="","",IFERROR(INDEX('판매구성'!$C$2:$C$501,MATCH(C397,'판매구성'!$A$2:$A$501,0)),""))</f>
        <v/>
      </c>
      <c r="J397" s="4">
        <f>IF(OR(C397="",E397=""),"",IFERROR(IF(INDEX('가격표'!$D$2:$K$501,MATCH(C397,'가격표'!$A$2:$A$501,0),MATCH(E397,'가격표'!$D$1:$K$1,0))="","",INDEX('가격표'!$D$2:$K$501,MATCH(C397,'가격표'!$A$2:$A$501,0),MATCH(E397,'가격표'!$D$1:$K$1,0))),""))</f>
        <v/>
      </c>
      <c r="K397" s="4">
        <f>IF(C397="","",IFERROR(INDEX('판매구성'!$D$2:$D$501,MATCH(C397,'판매구성'!$A$2:$A$501,0)),""))</f>
        <v/>
      </c>
      <c r="L397" s="4">
        <f>IF(OR(J397="",K397=""),"",ROUND(J397-(J397-K397)*'설정'!$B$2,0))</f>
        <v/>
      </c>
      <c r="M397" s="4">
        <f>IF(OR(A397="",J397=""),"",ROUND(J397*N(IFERROR(INDEX('판매채널'!$F$2:$F$501,MATCH(A397,'판매채널'!$A$2:$A$501,0)),"")),0))</f>
        <v/>
      </c>
      <c r="N397" s="4">
        <f>IF(OR(J397="",K397=""),"",J397-M397-K397)</f>
        <v/>
      </c>
      <c r="O397" s="5">
        <f>IF(OR(J397="",J397=0),"",N397/J397)</f>
        <v/>
      </c>
    </row>
    <row r="398">
      <c r="B398" s="2">
        <f>IF(A398="","",IFERROR(INDEX('판매채널'!$B$2:$B$501,MATCH(A398,'판매채널'!$A$2:$A$501,0)),""))</f>
        <v/>
      </c>
      <c r="D398" s="2">
        <f>IF(C398="","",IFERROR(INDEX('판매구성'!$B$2:$B$501,MATCH(C398,'판매구성'!$A$2:$A$501,0)),""))</f>
        <v/>
      </c>
      <c r="G398" s="3" t="n"/>
      <c r="I398" s="2">
        <f>IF(C398="","",IFERROR(INDEX('판매구성'!$C$2:$C$501,MATCH(C398,'판매구성'!$A$2:$A$501,0)),""))</f>
        <v/>
      </c>
      <c r="J398" s="4">
        <f>IF(OR(C398="",E398=""),"",IFERROR(IF(INDEX('가격표'!$D$2:$K$501,MATCH(C398,'가격표'!$A$2:$A$501,0),MATCH(E398,'가격표'!$D$1:$K$1,0))="","",INDEX('가격표'!$D$2:$K$501,MATCH(C398,'가격표'!$A$2:$A$501,0),MATCH(E398,'가격표'!$D$1:$K$1,0))),""))</f>
        <v/>
      </c>
      <c r="K398" s="4">
        <f>IF(C398="","",IFERROR(INDEX('판매구성'!$D$2:$D$501,MATCH(C398,'판매구성'!$A$2:$A$501,0)),""))</f>
        <v/>
      </c>
      <c r="L398" s="4">
        <f>IF(OR(J398="",K398=""),"",ROUND(J398-(J398-K398)*'설정'!$B$2,0))</f>
        <v/>
      </c>
      <c r="M398" s="4">
        <f>IF(OR(A398="",J398=""),"",ROUND(J398*N(IFERROR(INDEX('판매채널'!$F$2:$F$501,MATCH(A398,'판매채널'!$A$2:$A$501,0)),"")),0))</f>
        <v/>
      </c>
      <c r="N398" s="4">
        <f>IF(OR(J398="",K398=""),"",J398-M398-K398)</f>
        <v/>
      </c>
      <c r="O398" s="5">
        <f>IF(OR(J398="",J398=0),"",N398/J398)</f>
        <v/>
      </c>
    </row>
    <row r="399">
      <c r="B399" s="2">
        <f>IF(A399="","",IFERROR(INDEX('판매채널'!$B$2:$B$501,MATCH(A399,'판매채널'!$A$2:$A$501,0)),""))</f>
        <v/>
      </c>
      <c r="D399" s="2">
        <f>IF(C399="","",IFERROR(INDEX('판매구성'!$B$2:$B$501,MATCH(C399,'판매구성'!$A$2:$A$501,0)),""))</f>
        <v/>
      </c>
      <c r="G399" s="3" t="n"/>
      <c r="I399" s="2">
        <f>IF(C399="","",IFERROR(INDEX('판매구성'!$C$2:$C$501,MATCH(C399,'판매구성'!$A$2:$A$501,0)),""))</f>
        <v/>
      </c>
      <c r="J399" s="4">
        <f>IF(OR(C399="",E399=""),"",IFERROR(IF(INDEX('가격표'!$D$2:$K$501,MATCH(C399,'가격표'!$A$2:$A$501,0),MATCH(E399,'가격표'!$D$1:$K$1,0))="","",INDEX('가격표'!$D$2:$K$501,MATCH(C399,'가격표'!$A$2:$A$501,0),MATCH(E399,'가격표'!$D$1:$K$1,0))),""))</f>
        <v/>
      </c>
      <c r="K399" s="4">
        <f>IF(C399="","",IFERROR(INDEX('판매구성'!$D$2:$D$501,MATCH(C399,'판매구성'!$A$2:$A$501,0)),""))</f>
        <v/>
      </c>
      <c r="L399" s="4">
        <f>IF(OR(J399="",K399=""),"",ROUND(J399-(J399-K399)*'설정'!$B$2,0))</f>
        <v/>
      </c>
      <c r="M399" s="4">
        <f>IF(OR(A399="",J399=""),"",ROUND(J399*N(IFERROR(INDEX('판매채널'!$F$2:$F$501,MATCH(A399,'판매채널'!$A$2:$A$501,0)),"")),0))</f>
        <v/>
      </c>
      <c r="N399" s="4">
        <f>IF(OR(J399="",K399=""),"",J399-M399-K399)</f>
        <v/>
      </c>
      <c r="O399" s="5">
        <f>IF(OR(J399="",J399=0),"",N399/J399)</f>
        <v/>
      </c>
    </row>
    <row r="400">
      <c r="B400" s="2">
        <f>IF(A400="","",IFERROR(INDEX('판매채널'!$B$2:$B$501,MATCH(A400,'판매채널'!$A$2:$A$501,0)),""))</f>
        <v/>
      </c>
      <c r="D400" s="2">
        <f>IF(C400="","",IFERROR(INDEX('판매구성'!$B$2:$B$501,MATCH(C400,'판매구성'!$A$2:$A$501,0)),""))</f>
        <v/>
      </c>
      <c r="G400" s="3" t="n"/>
      <c r="I400" s="2">
        <f>IF(C400="","",IFERROR(INDEX('판매구성'!$C$2:$C$501,MATCH(C400,'판매구성'!$A$2:$A$501,0)),""))</f>
        <v/>
      </c>
      <c r="J400" s="4">
        <f>IF(OR(C400="",E400=""),"",IFERROR(IF(INDEX('가격표'!$D$2:$K$501,MATCH(C400,'가격표'!$A$2:$A$501,0),MATCH(E400,'가격표'!$D$1:$K$1,0))="","",INDEX('가격표'!$D$2:$K$501,MATCH(C400,'가격표'!$A$2:$A$501,0),MATCH(E400,'가격표'!$D$1:$K$1,0))),""))</f>
        <v/>
      </c>
      <c r="K400" s="4">
        <f>IF(C400="","",IFERROR(INDEX('판매구성'!$D$2:$D$501,MATCH(C400,'판매구성'!$A$2:$A$501,0)),""))</f>
        <v/>
      </c>
      <c r="L400" s="4">
        <f>IF(OR(J400="",K400=""),"",ROUND(J400-(J400-K400)*'설정'!$B$2,0))</f>
        <v/>
      </c>
      <c r="M400" s="4">
        <f>IF(OR(A400="",J400=""),"",ROUND(J400*N(IFERROR(INDEX('판매채널'!$F$2:$F$501,MATCH(A400,'판매채널'!$A$2:$A$501,0)),"")),0))</f>
        <v/>
      </c>
      <c r="N400" s="4">
        <f>IF(OR(J400="",K400=""),"",J400-M400-K400)</f>
        <v/>
      </c>
      <c r="O400" s="5">
        <f>IF(OR(J400="",J400=0),"",N400/J400)</f>
        <v/>
      </c>
    </row>
    <row r="401">
      <c r="B401" s="2">
        <f>IF(A401="","",IFERROR(INDEX('판매채널'!$B$2:$B$501,MATCH(A401,'판매채널'!$A$2:$A$501,0)),""))</f>
        <v/>
      </c>
      <c r="D401" s="2">
        <f>IF(C401="","",IFERROR(INDEX('판매구성'!$B$2:$B$501,MATCH(C401,'판매구성'!$A$2:$A$501,0)),""))</f>
        <v/>
      </c>
      <c r="G401" s="3" t="n"/>
      <c r="I401" s="2">
        <f>IF(C401="","",IFERROR(INDEX('판매구성'!$C$2:$C$501,MATCH(C401,'판매구성'!$A$2:$A$501,0)),""))</f>
        <v/>
      </c>
      <c r="J401" s="4">
        <f>IF(OR(C401="",E401=""),"",IFERROR(IF(INDEX('가격표'!$D$2:$K$501,MATCH(C401,'가격표'!$A$2:$A$501,0),MATCH(E401,'가격표'!$D$1:$K$1,0))="","",INDEX('가격표'!$D$2:$K$501,MATCH(C401,'가격표'!$A$2:$A$501,0),MATCH(E401,'가격표'!$D$1:$K$1,0))),""))</f>
        <v/>
      </c>
      <c r="K401" s="4">
        <f>IF(C401="","",IFERROR(INDEX('판매구성'!$D$2:$D$501,MATCH(C401,'판매구성'!$A$2:$A$501,0)),""))</f>
        <v/>
      </c>
      <c r="L401" s="4">
        <f>IF(OR(J401="",K401=""),"",ROUND(J401-(J401-K401)*'설정'!$B$2,0))</f>
        <v/>
      </c>
      <c r="M401" s="4">
        <f>IF(OR(A401="",J401=""),"",ROUND(J401*N(IFERROR(INDEX('판매채널'!$F$2:$F$501,MATCH(A401,'판매채널'!$A$2:$A$501,0)),"")),0))</f>
        <v/>
      </c>
      <c r="N401" s="4">
        <f>IF(OR(J401="",K401=""),"",J401-M401-K401)</f>
        <v/>
      </c>
      <c r="O401" s="5">
        <f>IF(OR(J401="",J401=0),"",N401/J401)</f>
        <v/>
      </c>
    </row>
    <row r="402">
      <c r="B402" s="2">
        <f>IF(A402="","",IFERROR(INDEX('판매채널'!$B$2:$B$501,MATCH(A402,'판매채널'!$A$2:$A$501,0)),""))</f>
        <v/>
      </c>
      <c r="D402" s="2">
        <f>IF(C402="","",IFERROR(INDEX('판매구성'!$B$2:$B$501,MATCH(C402,'판매구성'!$A$2:$A$501,0)),""))</f>
        <v/>
      </c>
      <c r="G402" s="3" t="n"/>
      <c r="I402" s="2">
        <f>IF(C402="","",IFERROR(INDEX('판매구성'!$C$2:$C$501,MATCH(C402,'판매구성'!$A$2:$A$501,0)),""))</f>
        <v/>
      </c>
      <c r="J402" s="4">
        <f>IF(OR(C402="",E402=""),"",IFERROR(IF(INDEX('가격표'!$D$2:$K$501,MATCH(C402,'가격표'!$A$2:$A$501,0),MATCH(E402,'가격표'!$D$1:$K$1,0))="","",INDEX('가격표'!$D$2:$K$501,MATCH(C402,'가격표'!$A$2:$A$501,0),MATCH(E402,'가격표'!$D$1:$K$1,0))),""))</f>
        <v/>
      </c>
      <c r="K402" s="4">
        <f>IF(C402="","",IFERROR(INDEX('판매구성'!$D$2:$D$501,MATCH(C402,'판매구성'!$A$2:$A$501,0)),""))</f>
        <v/>
      </c>
      <c r="L402" s="4">
        <f>IF(OR(J402="",K402=""),"",ROUND(J402-(J402-K402)*'설정'!$B$2,0))</f>
        <v/>
      </c>
      <c r="M402" s="4">
        <f>IF(OR(A402="",J402=""),"",ROUND(J402*N(IFERROR(INDEX('판매채널'!$F$2:$F$501,MATCH(A402,'판매채널'!$A$2:$A$501,0)),"")),0))</f>
        <v/>
      </c>
      <c r="N402" s="4">
        <f>IF(OR(J402="",K402=""),"",J402-M402-K402)</f>
        <v/>
      </c>
      <c r="O402" s="5">
        <f>IF(OR(J402="",J402=0),"",N402/J402)</f>
        <v/>
      </c>
    </row>
    <row r="403">
      <c r="B403" s="2">
        <f>IF(A403="","",IFERROR(INDEX('판매채널'!$B$2:$B$501,MATCH(A403,'판매채널'!$A$2:$A$501,0)),""))</f>
        <v/>
      </c>
      <c r="D403" s="2">
        <f>IF(C403="","",IFERROR(INDEX('판매구성'!$B$2:$B$501,MATCH(C403,'판매구성'!$A$2:$A$501,0)),""))</f>
        <v/>
      </c>
      <c r="G403" s="3" t="n"/>
      <c r="I403" s="2">
        <f>IF(C403="","",IFERROR(INDEX('판매구성'!$C$2:$C$501,MATCH(C403,'판매구성'!$A$2:$A$501,0)),""))</f>
        <v/>
      </c>
      <c r="J403" s="4">
        <f>IF(OR(C403="",E403=""),"",IFERROR(IF(INDEX('가격표'!$D$2:$K$501,MATCH(C403,'가격표'!$A$2:$A$501,0),MATCH(E403,'가격표'!$D$1:$K$1,0))="","",INDEX('가격표'!$D$2:$K$501,MATCH(C403,'가격표'!$A$2:$A$501,0),MATCH(E403,'가격표'!$D$1:$K$1,0))),""))</f>
        <v/>
      </c>
      <c r="K403" s="4">
        <f>IF(C403="","",IFERROR(INDEX('판매구성'!$D$2:$D$501,MATCH(C403,'판매구성'!$A$2:$A$501,0)),""))</f>
        <v/>
      </c>
      <c r="L403" s="4">
        <f>IF(OR(J403="",K403=""),"",ROUND(J403-(J403-K403)*'설정'!$B$2,0))</f>
        <v/>
      </c>
      <c r="M403" s="4">
        <f>IF(OR(A403="",J403=""),"",ROUND(J403*N(IFERROR(INDEX('판매채널'!$F$2:$F$501,MATCH(A403,'판매채널'!$A$2:$A$501,0)),"")),0))</f>
        <v/>
      </c>
      <c r="N403" s="4">
        <f>IF(OR(J403="",K403=""),"",J403-M403-K403)</f>
        <v/>
      </c>
      <c r="O403" s="5">
        <f>IF(OR(J403="",J403=0),"",N403/J403)</f>
        <v/>
      </c>
    </row>
    <row r="404">
      <c r="B404" s="2">
        <f>IF(A404="","",IFERROR(INDEX('판매채널'!$B$2:$B$501,MATCH(A404,'판매채널'!$A$2:$A$501,0)),""))</f>
        <v/>
      </c>
      <c r="D404" s="2">
        <f>IF(C404="","",IFERROR(INDEX('판매구성'!$B$2:$B$501,MATCH(C404,'판매구성'!$A$2:$A$501,0)),""))</f>
        <v/>
      </c>
      <c r="G404" s="3" t="n"/>
      <c r="I404" s="2">
        <f>IF(C404="","",IFERROR(INDEX('판매구성'!$C$2:$C$501,MATCH(C404,'판매구성'!$A$2:$A$501,0)),""))</f>
        <v/>
      </c>
      <c r="J404" s="4">
        <f>IF(OR(C404="",E404=""),"",IFERROR(IF(INDEX('가격표'!$D$2:$K$501,MATCH(C404,'가격표'!$A$2:$A$501,0),MATCH(E404,'가격표'!$D$1:$K$1,0))="","",INDEX('가격표'!$D$2:$K$501,MATCH(C404,'가격표'!$A$2:$A$501,0),MATCH(E404,'가격표'!$D$1:$K$1,0))),""))</f>
        <v/>
      </c>
      <c r="K404" s="4">
        <f>IF(C404="","",IFERROR(INDEX('판매구성'!$D$2:$D$501,MATCH(C404,'판매구성'!$A$2:$A$501,0)),""))</f>
        <v/>
      </c>
      <c r="L404" s="4">
        <f>IF(OR(J404="",K404=""),"",ROUND(J404-(J404-K404)*'설정'!$B$2,0))</f>
        <v/>
      </c>
      <c r="M404" s="4">
        <f>IF(OR(A404="",J404=""),"",ROUND(J404*N(IFERROR(INDEX('판매채널'!$F$2:$F$501,MATCH(A404,'판매채널'!$A$2:$A$501,0)),"")),0))</f>
        <v/>
      </c>
      <c r="N404" s="4">
        <f>IF(OR(J404="",K404=""),"",J404-M404-K404)</f>
        <v/>
      </c>
      <c r="O404" s="5">
        <f>IF(OR(J404="",J404=0),"",N404/J404)</f>
        <v/>
      </c>
    </row>
    <row r="405">
      <c r="B405" s="2">
        <f>IF(A405="","",IFERROR(INDEX('판매채널'!$B$2:$B$501,MATCH(A405,'판매채널'!$A$2:$A$501,0)),""))</f>
        <v/>
      </c>
      <c r="D405" s="2">
        <f>IF(C405="","",IFERROR(INDEX('판매구성'!$B$2:$B$501,MATCH(C405,'판매구성'!$A$2:$A$501,0)),""))</f>
        <v/>
      </c>
      <c r="G405" s="3" t="n"/>
      <c r="I405" s="2">
        <f>IF(C405="","",IFERROR(INDEX('판매구성'!$C$2:$C$501,MATCH(C405,'판매구성'!$A$2:$A$501,0)),""))</f>
        <v/>
      </c>
      <c r="J405" s="4">
        <f>IF(OR(C405="",E405=""),"",IFERROR(IF(INDEX('가격표'!$D$2:$K$501,MATCH(C405,'가격표'!$A$2:$A$501,0),MATCH(E405,'가격표'!$D$1:$K$1,0))="","",INDEX('가격표'!$D$2:$K$501,MATCH(C405,'가격표'!$A$2:$A$501,0),MATCH(E405,'가격표'!$D$1:$K$1,0))),""))</f>
        <v/>
      </c>
      <c r="K405" s="4">
        <f>IF(C405="","",IFERROR(INDEX('판매구성'!$D$2:$D$501,MATCH(C405,'판매구성'!$A$2:$A$501,0)),""))</f>
        <v/>
      </c>
      <c r="L405" s="4">
        <f>IF(OR(J405="",K405=""),"",ROUND(J405-(J405-K405)*'설정'!$B$2,0))</f>
        <v/>
      </c>
      <c r="M405" s="4">
        <f>IF(OR(A405="",J405=""),"",ROUND(J405*N(IFERROR(INDEX('판매채널'!$F$2:$F$501,MATCH(A405,'판매채널'!$A$2:$A$501,0)),"")),0))</f>
        <v/>
      </c>
      <c r="N405" s="4">
        <f>IF(OR(J405="",K405=""),"",J405-M405-K405)</f>
        <v/>
      </c>
      <c r="O405" s="5">
        <f>IF(OR(J405="",J405=0),"",N405/J405)</f>
        <v/>
      </c>
    </row>
    <row r="406">
      <c r="B406" s="2">
        <f>IF(A406="","",IFERROR(INDEX('판매채널'!$B$2:$B$501,MATCH(A406,'판매채널'!$A$2:$A$501,0)),""))</f>
        <v/>
      </c>
      <c r="D406" s="2">
        <f>IF(C406="","",IFERROR(INDEX('판매구성'!$B$2:$B$501,MATCH(C406,'판매구성'!$A$2:$A$501,0)),""))</f>
        <v/>
      </c>
      <c r="G406" s="3" t="n"/>
      <c r="I406" s="2">
        <f>IF(C406="","",IFERROR(INDEX('판매구성'!$C$2:$C$501,MATCH(C406,'판매구성'!$A$2:$A$501,0)),""))</f>
        <v/>
      </c>
      <c r="J406" s="4">
        <f>IF(OR(C406="",E406=""),"",IFERROR(IF(INDEX('가격표'!$D$2:$K$501,MATCH(C406,'가격표'!$A$2:$A$501,0),MATCH(E406,'가격표'!$D$1:$K$1,0))="","",INDEX('가격표'!$D$2:$K$501,MATCH(C406,'가격표'!$A$2:$A$501,0),MATCH(E406,'가격표'!$D$1:$K$1,0))),""))</f>
        <v/>
      </c>
      <c r="K406" s="4">
        <f>IF(C406="","",IFERROR(INDEX('판매구성'!$D$2:$D$501,MATCH(C406,'판매구성'!$A$2:$A$501,0)),""))</f>
        <v/>
      </c>
      <c r="L406" s="4">
        <f>IF(OR(J406="",K406=""),"",ROUND(J406-(J406-K406)*'설정'!$B$2,0))</f>
        <v/>
      </c>
      <c r="M406" s="4">
        <f>IF(OR(A406="",J406=""),"",ROUND(J406*N(IFERROR(INDEX('판매채널'!$F$2:$F$501,MATCH(A406,'판매채널'!$A$2:$A$501,0)),"")),0))</f>
        <v/>
      </c>
      <c r="N406" s="4">
        <f>IF(OR(J406="",K406=""),"",J406-M406-K406)</f>
        <v/>
      </c>
      <c r="O406" s="5">
        <f>IF(OR(J406="",J406=0),"",N406/J406)</f>
        <v/>
      </c>
    </row>
    <row r="407">
      <c r="B407" s="2">
        <f>IF(A407="","",IFERROR(INDEX('판매채널'!$B$2:$B$501,MATCH(A407,'판매채널'!$A$2:$A$501,0)),""))</f>
        <v/>
      </c>
      <c r="D407" s="2">
        <f>IF(C407="","",IFERROR(INDEX('판매구성'!$B$2:$B$501,MATCH(C407,'판매구성'!$A$2:$A$501,0)),""))</f>
        <v/>
      </c>
      <c r="G407" s="3" t="n"/>
      <c r="I407" s="2">
        <f>IF(C407="","",IFERROR(INDEX('판매구성'!$C$2:$C$501,MATCH(C407,'판매구성'!$A$2:$A$501,0)),""))</f>
        <v/>
      </c>
      <c r="J407" s="4">
        <f>IF(OR(C407="",E407=""),"",IFERROR(IF(INDEX('가격표'!$D$2:$K$501,MATCH(C407,'가격표'!$A$2:$A$501,0),MATCH(E407,'가격표'!$D$1:$K$1,0))="","",INDEX('가격표'!$D$2:$K$501,MATCH(C407,'가격표'!$A$2:$A$501,0),MATCH(E407,'가격표'!$D$1:$K$1,0))),""))</f>
        <v/>
      </c>
      <c r="K407" s="4">
        <f>IF(C407="","",IFERROR(INDEX('판매구성'!$D$2:$D$501,MATCH(C407,'판매구성'!$A$2:$A$501,0)),""))</f>
        <v/>
      </c>
      <c r="L407" s="4">
        <f>IF(OR(J407="",K407=""),"",ROUND(J407-(J407-K407)*'설정'!$B$2,0))</f>
        <v/>
      </c>
      <c r="M407" s="4">
        <f>IF(OR(A407="",J407=""),"",ROUND(J407*N(IFERROR(INDEX('판매채널'!$F$2:$F$501,MATCH(A407,'판매채널'!$A$2:$A$501,0)),"")),0))</f>
        <v/>
      </c>
      <c r="N407" s="4">
        <f>IF(OR(J407="",K407=""),"",J407-M407-K407)</f>
        <v/>
      </c>
      <c r="O407" s="5">
        <f>IF(OR(J407="",J407=0),"",N407/J407)</f>
        <v/>
      </c>
    </row>
    <row r="408">
      <c r="B408" s="2">
        <f>IF(A408="","",IFERROR(INDEX('판매채널'!$B$2:$B$501,MATCH(A408,'판매채널'!$A$2:$A$501,0)),""))</f>
        <v/>
      </c>
      <c r="D408" s="2">
        <f>IF(C408="","",IFERROR(INDEX('판매구성'!$B$2:$B$501,MATCH(C408,'판매구성'!$A$2:$A$501,0)),""))</f>
        <v/>
      </c>
      <c r="G408" s="3" t="n"/>
      <c r="I408" s="2">
        <f>IF(C408="","",IFERROR(INDEX('판매구성'!$C$2:$C$501,MATCH(C408,'판매구성'!$A$2:$A$501,0)),""))</f>
        <v/>
      </c>
      <c r="J408" s="4">
        <f>IF(OR(C408="",E408=""),"",IFERROR(IF(INDEX('가격표'!$D$2:$K$501,MATCH(C408,'가격표'!$A$2:$A$501,0),MATCH(E408,'가격표'!$D$1:$K$1,0))="","",INDEX('가격표'!$D$2:$K$501,MATCH(C408,'가격표'!$A$2:$A$501,0),MATCH(E408,'가격표'!$D$1:$K$1,0))),""))</f>
        <v/>
      </c>
      <c r="K408" s="4">
        <f>IF(C408="","",IFERROR(INDEX('판매구성'!$D$2:$D$501,MATCH(C408,'판매구성'!$A$2:$A$501,0)),""))</f>
        <v/>
      </c>
      <c r="L408" s="4">
        <f>IF(OR(J408="",K408=""),"",ROUND(J408-(J408-K408)*'설정'!$B$2,0))</f>
        <v/>
      </c>
      <c r="M408" s="4">
        <f>IF(OR(A408="",J408=""),"",ROUND(J408*N(IFERROR(INDEX('판매채널'!$F$2:$F$501,MATCH(A408,'판매채널'!$A$2:$A$501,0)),"")),0))</f>
        <v/>
      </c>
      <c r="N408" s="4">
        <f>IF(OR(J408="",K408=""),"",J408-M408-K408)</f>
        <v/>
      </c>
      <c r="O408" s="5">
        <f>IF(OR(J408="",J408=0),"",N408/J408)</f>
        <v/>
      </c>
    </row>
    <row r="409">
      <c r="B409" s="2">
        <f>IF(A409="","",IFERROR(INDEX('판매채널'!$B$2:$B$501,MATCH(A409,'판매채널'!$A$2:$A$501,0)),""))</f>
        <v/>
      </c>
      <c r="D409" s="2">
        <f>IF(C409="","",IFERROR(INDEX('판매구성'!$B$2:$B$501,MATCH(C409,'판매구성'!$A$2:$A$501,0)),""))</f>
        <v/>
      </c>
      <c r="G409" s="3" t="n"/>
      <c r="I409" s="2">
        <f>IF(C409="","",IFERROR(INDEX('판매구성'!$C$2:$C$501,MATCH(C409,'판매구성'!$A$2:$A$501,0)),""))</f>
        <v/>
      </c>
      <c r="J409" s="4">
        <f>IF(OR(C409="",E409=""),"",IFERROR(IF(INDEX('가격표'!$D$2:$K$501,MATCH(C409,'가격표'!$A$2:$A$501,0),MATCH(E409,'가격표'!$D$1:$K$1,0))="","",INDEX('가격표'!$D$2:$K$501,MATCH(C409,'가격표'!$A$2:$A$501,0),MATCH(E409,'가격표'!$D$1:$K$1,0))),""))</f>
        <v/>
      </c>
      <c r="K409" s="4">
        <f>IF(C409="","",IFERROR(INDEX('판매구성'!$D$2:$D$501,MATCH(C409,'판매구성'!$A$2:$A$501,0)),""))</f>
        <v/>
      </c>
      <c r="L409" s="4">
        <f>IF(OR(J409="",K409=""),"",ROUND(J409-(J409-K409)*'설정'!$B$2,0))</f>
        <v/>
      </c>
      <c r="M409" s="4">
        <f>IF(OR(A409="",J409=""),"",ROUND(J409*N(IFERROR(INDEX('판매채널'!$F$2:$F$501,MATCH(A409,'판매채널'!$A$2:$A$501,0)),"")),0))</f>
        <v/>
      </c>
      <c r="N409" s="4">
        <f>IF(OR(J409="",K409=""),"",J409-M409-K409)</f>
        <v/>
      </c>
      <c r="O409" s="5">
        <f>IF(OR(J409="",J409=0),"",N409/J409)</f>
        <v/>
      </c>
    </row>
    <row r="410">
      <c r="B410" s="2">
        <f>IF(A410="","",IFERROR(INDEX('판매채널'!$B$2:$B$501,MATCH(A410,'판매채널'!$A$2:$A$501,0)),""))</f>
        <v/>
      </c>
      <c r="D410" s="2">
        <f>IF(C410="","",IFERROR(INDEX('판매구성'!$B$2:$B$501,MATCH(C410,'판매구성'!$A$2:$A$501,0)),""))</f>
        <v/>
      </c>
      <c r="G410" s="3" t="n"/>
      <c r="I410" s="2">
        <f>IF(C410="","",IFERROR(INDEX('판매구성'!$C$2:$C$501,MATCH(C410,'판매구성'!$A$2:$A$501,0)),""))</f>
        <v/>
      </c>
      <c r="J410" s="4">
        <f>IF(OR(C410="",E410=""),"",IFERROR(IF(INDEX('가격표'!$D$2:$K$501,MATCH(C410,'가격표'!$A$2:$A$501,0),MATCH(E410,'가격표'!$D$1:$K$1,0))="","",INDEX('가격표'!$D$2:$K$501,MATCH(C410,'가격표'!$A$2:$A$501,0),MATCH(E410,'가격표'!$D$1:$K$1,0))),""))</f>
        <v/>
      </c>
      <c r="K410" s="4">
        <f>IF(C410="","",IFERROR(INDEX('판매구성'!$D$2:$D$501,MATCH(C410,'판매구성'!$A$2:$A$501,0)),""))</f>
        <v/>
      </c>
      <c r="L410" s="4">
        <f>IF(OR(J410="",K410=""),"",ROUND(J410-(J410-K410)*'설정'!$B$2,0))</f>
        <v/>
      </c>
      <c r="M410" s="4">
        <f>IF(OR(A410="",J410=""),"",ROUND(J410*N(IFERROR(INDEX('판매채널'!$F$2:$F$501,MATCH(A410,'판매채널'!$A$2:$A$501,0)),"")),0))</f>
        <v/>
      </c>
      <c r="N410" s="4">
        <f>IF(OR(J410="",K410=""),"",J410-M410-K410)</f>
        <v/>
      </c>
      <c r="O410" s="5">
        <f>IF(OR(J410="",J410=0),"",N410/J410)</f>
        <v/>
      </c>
    </row>
    <row r="411">
      <c r="B411" s="2">
        <f>IF(A411="","",IFERROR(INDEX('판매채널'!$B$2:$B$501,MATCH(A411,'판매채널'!$A$2:$A$501,0)),""))</f>
        <v/>
      </c>
      <c r="D411" s="2">
        <f>IF(C411="","",IFERROR(INDEX('판매구성'!$B$2:$B$501,MATCH(C411,'판매구성'!$A$2:$A$501,0)),""))</f>
        <v/>
      </c>
      <c r="G411" s="3" t="n"/>
      <c r="I411" s="2">
        <f>IF(C411="","",IFERROR(INDEX('판매구성'!$C$2:$C$501,MATCH(C411,'판매구성'!$A$2:$A$501,0)),""))</f>
        <v/>
      </c>
      <c r="J411" s="4">
        <f>IF(OR(C411="",E411=""),"",IFERROR(IF(INDEX('가격표'!$D$2:$K$501,MATCH(C411,'가격표'!$A$2:$A$501,0),MATCH(E411,'가격표'!$D$1:$K$1,0))="","",INDEX('가격표'!$D$2:$K$501,MATCH(C411,'가격표'!$A$2:$A$501,0),MATCH(E411,'가격표'!$D$1:$K$1,0))),""))</f>
        <v/>
      </c>
      <c r="K411" s="4">
        <f>IF(C411="","",IFERROR(INDEX('판매구성'!$D$2:$D$501,MATCH(C411,'판매구성'!$A$2:$A$501,0)),""))</f>
        <v/>
      </c>
      <c r="L411" s="4">
        <f>IF(OR(J411="",K411=""),"",ROUND(J411-(J411-K411)*'설정'!$B$2,0))</f>
        <v/>
      </c>
      <c r="M411" s="4">
        <f>IF(OR(A411="",J411=""),"",ROUND(J411*N(IFERROR(INDEX('판매채널'!$F$2:$F$501,MATCH(A411,'판매채널'!$A$2:$A$501,0)),"")),0))</f>
        <v/>
      </c>
      <c r="N411" s="4">
        <f>IF(OR(J411="",K411=""),"",J411-M411-K411)</f>
        <v/>
      </c>
      <c r="O411" s="5">
        <f>IF(OR(J411="",J411=0),"",N411/J411)</f>
        <v/>
      </c>
    </row>
    <row r="412">
      <c r="B412" s="2">
        <f>IF(A412="","",IFERROR(INDEX('판매채널'!$B$2:$B$501,MATCH(A412,'판매채널'!$A$2:$A$501,0)),""))</f>
        <v/>
      </c>
      <c r="D412" s="2">
        <f>IF(C412="","",IFERROR(INDEX('판매구성'!$B$2:$B$501,MATCH(C412,'판매구성'!$A$2:$A$501,0)),""))</f>
        <v/>
      </c>
      <c r="G412" s="3" t="n"/>
      <c r="I412" s="2">
        <f>IF(C412="","",IFERROR(INDEX('판매구성'!$C$2:$C$501,MATCH(C412,'판매구성'!$A$2:$A$501,0)),""))</f>
        <v/>
      </c>
      <c r="J412" s="4">
        <f>IF(OR(C412="",E412=""),"",IFERROR(IF(INDEX('가격표'!$D$2:$K$501,MATCH(C412,'가격표'!$A$2:$A$501,0),MATCH(E412,'가격표'!$D$1:$K$1,0))="","",INDEX('가격표'!$D$2:$K$501,MATCH(C412,'가격표'!$A$2:$A$501,0),MATCH(E412,'가격표'!$D$1:$K$1,0))),""))</f>
        <v/>
      </c>
      <c r="K412" s="4">
        <f>IF(C412="","",IFERROR(INDEX('판매구성'!$D$2:$D$501,MATCH(C412,'판매구성'!$A$2:$A$501,0)),""))</f>
        <v/>
      </c>
      <c r="L412" s="4">
        <f>IF(OR(J412="",K412=""),"",ROUND(J412-(J412-K412)*'설정'!$B$2,0))</f>
        <v/>
      </c>
      <c r="M412" s="4">
        <f>IF(OR(A412="",J412=""),"",ROUND(J412*N(IFERROR(INDEX('판매채널'!$F$2:$F$501,MATCH(A412,'판매채널'!$A$2:$A$501,0)),"")),0))</f>
        <v/>
      </c>
      <c r="N412" s="4">
        <f>IF(OR(J412="",K412=""),"",J412-M412-K412)</f>
        <v/>
      </c>
      <c r="O412" s="5">
        <f>IF(OR(J412="",J412=0),"",N412/J412)</f>
        <v/>
      </c>
    </row>
    <row r="413">
      <c r="B413" s="2">
        <f>IF(A413="","",IFERROR(INDEX('판매채널'!$B$2:$B$501,MATCH(A413,'판매채널'!$A$2:$A$501,0)),""))</f>
        <v/>
      </c>
      <c r="D413" s="2">
        <f>IF(C413="","",IFERROR(INDEX('판매구성'!$B$2:$B$501,MATCH(C413,'판매구성'!$A$2:$A$501,0)),""))</f>
        <v/>
      </c>
      <c r="G413" s="3" t="n"/>
      <c r="I413" s="2">
        <f>IF(C413="","",IFERROR(INDEX('판매구성'!$C$2:$C$501,MATCH(C413,'판매구성'!$A$2:$A$501,0)),""))</f>
        <v/>
      </c>
      <c r="J413" s="4">
        <f>IF(OR(C413="",E413=""),"",IFERROR(IF(INDEX('가격표'!$D$2:$K$501,MATCH(C413,'가격표'!$A$2:$A$501,0),MATCH(E413,'가격표'!$D$1:$K$1,0))="","",INDEX('가격표'!$D$2:$K$501,MATCH(C413,'가격표'!$A$2:$A$501,0),MATCH(E413,'가격표'!$D$1:$K$1,0))),""))</f>
        <v/>
      </c>
      <c r="K413" s="4">
        <f>IF(C413="","",IFERROR(INDEX('판매구성'!$D$2:$D$501,MATCH(C413,'판매구성'!$A$2:$A$501,0)),""))</f>
        <v/>
      </c>
      <c r="L413" s="4">
        <f>IF(OR(J413="",K413=""),"",ROUND(J413-(J413-K413)*'설정'!$B$2,0))</f>
        <v/>
      </c>
      <c r="M413" s="4">
        <f>IF(OR(A413="",J413=""),"",ROUND(J413*N(IFERROR(INDEX('판매채널'!$F$2:$F$501,MATCH(A413,'판매채널'!$A$2:$A$501,0)),"")),0))</f>
        <v/>
      </c>
      <c r="N413" s="4">
        <f>IF(OR(J413="",K413=""),"",J413-M413-K413)</f>
        <v/>
      </c>
      <c r="O413" s="5">
        <f>IF(OR(J413="",J413=0),"",N413/J413)</f>
        <v/>
      </c>
    </row>
    <row r="414">
      <c r="B414" s="2">
        <f>IF(A414="","",IFERROR(INDEX('판매채널'!$B$2:$B$501,MATCH(A414,'판매채널'!$A$2:$A$501,0)),""))</f>
        <v/>
      </c>
      <c r="D414" s="2">
        <f>IF(C414="","",IFERROR(INDEX('판매구성'!$B$2:$B$501,MATCH(C414,'판매구성'!$A$2:$A$501,0)),""))</f>
        <v/>
      </c>
      <c r="G414" s="3" t="n"/>
      <c r="I414" s="2">
        <f>IF(C414="","",IFERROR(INDEX('판매구성'!$C$2:$C$501,MATCH(C414,'판매구성'!$A$2:$A$501,0)),""))</f>
        <v/>
      </c>
      <c r="J414" s="4">
        <f>IF(OR(C414="",E414=""),"",IFERROR(IF(INDEX('가격표'!$D$2:$K$501,MATCH(C414,'가격표'!$A$2:$A$501,0),MATCH(E414,'가격표'!$D$1:$K$1,0))="","",INDEX('가격표'!$D$2:$K$501,MATCH(C414,'가격표'!$A$2:$A$501,0),MATCH(E414,'가격표'!$D$1:$K$1,0))),""))</f>
        <v/>
      </c>
      <c r="K414" s="4">
        <f>IF(C414="","",IFERROR(INDEX('판매구성'!$D$2:$D$501,MATCH(C414,'판매구성'!$A$2:$A$501,0)),""))</f>
        <v/>
      </c>
      <c r="L414" s="4">
        <f>IF(OR(J414="",K414=""),"",ROUND(J414-(J414-K414)*'설정'!$B$2,0))</f>
        <v/>
      </c>
      <c r="M414" s="4">
        <f>IF(OR(A414="",J414=""),"",ROUND(J414*N(IFERROR(INDEX('판매채널'!$F$2:$F$501,MATCH(A414,'판매채널'!$A$2:$A$501,0)),"")),0))</f>
        <v/>
      </c>
      <c r="N414" s="4">
        <f>IF(OR(J414="",K414=""),"",J414-M414-K414)</f>
        <v/>
      </c>
      <c r="O414" s="5">
        <f>IF(OR(J414="",J414=0),"",N414/J414)</f>
        <v/>
      </c>
    </row>
    <row r="415">
      <c r="B415" s="2">
        <f>IF(A415="","",IFERROR(INDEX('판매채널'!$B$2:$B$501,MATCH(A415,'판매채널'!$A$2:$A$501,0)),""))</f>
        <v/>
      </c>
      <c r="D415" s="2">
        <f>IF(C415="","",IFERROR(INDEX('판매구성'!$B$2:$B$501,MATCH(C415,'판매구성'!$A$2:$A$501,0)),""))</f>
        <v/>
      </c>
      <c r="G415" s="3" t="n"/>
      <c r="I415" s="2">
        <f>IF(C415="","",IFERROR(INDEX('판매구성'!$C$2:$C$501,MATCH(C415,'판매구성'!$A$2:$A$501,0)),""))</f>
        <v/>
      </c>
      <c r="J415" s="4">
        <f>IF(OR(C415="",E415=""),"",IFERROR(IF(INDEX('가격표'!$D$2:$K$501,MATCH(C415,'가격표'!$A$2:$A$501,0),MATCH(E415,'가격표'!$D$1:$K$1,0))="","",INDEX('가격표'!$D$2:$K$501,MATCH(C415,'가격표'!$A$2:$A$501,0),MATCH(E415,'가격표'!$D$1:$K$1,0))),""))</f>
        <v/>
      </c>
      <c r="K415" s="4">
        <f>IF(C415="","",IFERROR(INDEX('판매구성'!$D$2:$D$501,MATCH(C415,'판매구성'!$A$2:$A$501,0)),""))</f>
        <v/>
      </c>
      <c r="L415" s="4">
        <f>IF(OR(J415="",K415=""),"",ROUND(J415-(J415-K415)*'설정'!$B$2,0))</f>
        <v/>
      </c>
      <c r="M415" s="4">
        <f>IF(OR(A415="",J415=""),"",ROUND(J415*N(IFERROR(INDEX('판매채널'!$F$2:$F$501,MATCH(A415,'판매채널'!$A$2:$A$501,0)),"")),0))</f>
        <v/>
      </c>
      <c r="N415" s="4">
        <f>IF(OR(J415="",K415=""),"",J415-M415-K415)</f>
        <v/>
      </c>
      <c r="O415" s="5">
        <f>IF(OR(J415="",J415=0),"",N415/J415)</f>
        <v/>
      </c>
    </row>
    <row r="416">
      <c r="B416" s="2">
        <f>IF(A416="","",IFERROR(INDEX('판매채널'!$B$2:$B$501,MATCH(A416,'판매채널'!$A$2:$A$501,0)),""))</f>
        <v/>
      </c>
      <c r="D416" s="2">
        <f>IF(C416="","",IFERROR(INDEX('판매구성'!$B$2:$B$501,MATCH(C416,'판매구성'!$A$2:$A$501,0)),""))</f>
        <v/>
      </c>
      <c r="G416" s="3" t="n"/>
      <c r="I416" s="2">
        <f>IF(C416="","",IFERROR(INDEX('판매구성'!$C$2:$C$501,MATCH(C416,'판매구성'!$A$2:$A$501,0)),""))</f>
        <v/>
      </c>
      <c r="J416" s="4">
        <f>IF(OR(C416="",E416=""),"",IFERROR(IF(INDEX('가격표'!$D$2:$K$501,MATCH(C416,'가격표'!$A$2:$A$501,0),MATCH(E416,'가격표'!$D$1:$K$1,0))="","",INDEX('가격표'!$D$2:$K$501,MATCH(C416,'가격표'!$A$2:$A$501,0),MATCH(E416,'가격표'!$D$1:$K$1,0))),""))</f>
        <v/>
      </c>
      <c r="K416" s="4">
        <f>IF(C416="","",IFERROR(INDEX('판매구성'!$D$2:$D$501,MATCH(C416,'판매구성'!$A$2:$A$501,0)),""))</f>
        <v/>
      </c>
      <c r="L416" s="4">
        <f>IF(OR(J416="",K416=""),"",ROUND(J416-(J416-K416)*'설정'!$B$2,0))</f>
        <v/>
      </c>
      <c r="M416" s="4">
        <f>IF(OR(A416="",J416=""),"",ROUND(J416*N(IFERROR(INDEX('판매채널'!$F$2:$F$501,MATCH(A416,'판매채널'!$A$2:$A$501,0)),"")),0))</f>
        <v/>
      </c>
      <c r="N416" s="4">
        <f>IF(OR(J416="",K416=""),"",J416-M416-K416)</f>
        <v/>
      </c>
      <c r="O416" s="5">
        <f>IF(OR(J416="",J416=0),"",N416/J416)</f>
        <v/>
      </c>
    </row>
    <row r="417">
      <c r="B417" s="2">
        <f>IF(A417="","",IFERROR(INDEX('판매채널'!$B$2:$B$501,MATCH(A417,'판매채널'!$A$2:$A$501,0)),""))</f>
        <v/>
      </c>
      <c r="D417" s="2">
        <f>IF(C417="","",IFERROR(INDEX('판매구성'!$B$2:$B$501,MATCH(C417,'판매구성'!$A$2:$A$501,0)),""))</f>
        <v/>
      </c>
      <c r="G417" s="3" t="n"/>
      <c r="I417" s="2">
        <f>IF(C417="","",IFERROR(INDEX('판매구성'!$C$2:$C$501,MATCH(C417,'판매구성'!$A$2:$A$501,0)),""))</f>
        <v/>
      </c>
      <c r="J417" s="4">
        <f>IF(OR(C417="",E417=""),"",IFERROR(IF(INDEX('가격표'!$D$2:$K$501,MATCH(C417,'가격표'!$A$2:$A$501,0),MATCH(E417,'가격표'!$D$1:$K$1,0))="","",INDEX('가격표'!$D$2:$K$501,MATCH(C417,'가격표'!$A$2:$A$501,0),MATCH(E417,'가격표'!$D$1:$K$1,0))),""))</f>
        <v/>
      </c>
      <c r="K417" s="4">
        <f>IF(C417="","",IFERROR(INDEX('판매구성'!$D$2:$D$501,MATCH(C417,'판매구성'!$A$2:$A$501,0)),""))</f>
        <v/>
      </c>
      <c r="L417" s="4">
        <f>IF(OR(J417="",K417=""),"",ROUND(J417-(J417-K417)*'설정'!$B$2,0))</f>
        <v/>
      </c>
      <c r="M417" s="4">
        <f>IF(OR(A417="",J417=""),"",ROUND(J417*N(IFERROR(INDEX('판매채널'!$F$2:$F$501,MATCH(A417,'판매채널'!$A$2:$A$501,0)),"")),0))</f>
        <v/>
      </c>
      <c r="N417" s="4">
        <f>IF(OR(J417="",K417=""),"",J417-M417-K417)</f>
        <v/>
      </c>
      <c r="O417" s="5">
        <f>IF(OR(J417="",J417=0),"",N417/J417)</f>
        <v/>
      </c>
    </row>
    <row r="418">
      <c r="B418" s="2">
        <f>IF(A418="","",IFERROR(INDEX('판매채널'!$B$2:$B$501,MATCH(A418,'판매채널'!$A$2:$A$501,0)),""))</f>
        <v/>
      </c>
      <c r="D418" s="2">
        <f>IF(C418="","",IFERROR(INDEX('판매구성'!$B$2:$B$501,MATCH(C418,'판매구성'!$A$2:$A$501,0)),""))</f>
        <v/>
      </c>
      <c r="G418" s="3" t="n"/>
      <c r="I418" s="2">
        <f>IF(C418="","",IFERROR(INDEX('판매구성'!$C$2:$C$501,MATCH(C418,'판매구성'!$A$2:$A$501,0)),""))</f>
        <v/>
      </c>
      <c r="J418" s="4">
        <f>IF(OR(C418="",E418=""),"",IFERROR(IF(INDEX('가격표'!$D$2:$K$501,MATCH(C418,'가격표'!$A$2:$A$501,0),MATCH(E418,'가격표'!$D$1:$K$1,0))="","",INDEX('가격표'!$D$2:$K$501,MATCH(C418,'가격표'!$A$2:$A$501,0),MATCH(E418,'가격표'!$D$1:$K$1,0))),""))</f>
        <v/>
      </c>
      <c r="K418" s="4">
        <f>IF(C418="","",IFERROR(INDEX('판매구성'!$D$2:$D$501,MATCH(C418,'판매구성'!$A$2:$A$501,0)),""))</f>
        <v/>
      </c>
      <c r="L418" s="4">
        <f>IF(OR(J418="",K418=""),"",ROUND(J418-(J418-K418)*'설정'!$B$2,0))</f>
        <v/>
      </c>
      <c r="M418" s="4">
        <f>IF(OR(A418="",J418=""),"",ROUND(J418*N(IFERROR(INDEX('판매채널'!$F$2:$F$501,MATCH(A418,'판매채널'!$A$2:$A$501,0)),"")),0))</f>
        <v/>
      </c>
      <c r="N418" s="4">
        <f>IF(OR(J418="",K418=""),"",J418-M418-K418)</f>
        <v/>
      </c>
      <c r="O418" s="5">
        <f>IF(OR(J418="",J418=0),"",N418/J418)</f>
        <v/>
      </c>
    </row>
    <row r="419">
      <c r="B419" s="2">
        <f>IF(A419="","",IFERROR(INDEX('판매채널'!$B$2:$B$501,MATCH(A419,'판매채널'!$A$2:$A$501,0)),""))</f>
        <v/>
      </c>
      <c r="D419" s="2">
        <f>IF(C419="","",IFERROR(INDEX('판매구성'!$B$2:$B$501,MATCH(C419,'판매구성'!$A$2:$A$501,0)),""))</f>
        <v/>
      </c>
      <c r="G419" s="3" t="n"/>
      <c r="I419" s="2">
        <f>IF(C419="","",IFERROR(INDEX('판매구성'!$C$2:$C$501,MATCH(C419,'판매구성'!$A$2:$A$501,0)),""))</f>
        <v/>
      </c>
      <c r="J419" s="4">
        <f>IF(OR(C419="",E419=""),"",IFERROR(IF(INDEX('가격표'!$D$2:$K$501,MATCH(C419,'가격표'!$A$2:$A$501,0),MATCH(E419,'가격표'!$D$1:$K$1,0))="","",INDEX('가격표'!$D$2:$K$501,MATCH(C419,'가격표'!$A$2:$A$501,0),MATCH(E419,'가격표'!$D$1:$K$1,0))),""))</f>
        <v/>
      </c>
      <c r="K419" s="4">
        <f>IF(C419="","",IFERROR(INDEX('판매구성'!$D$2:$D$501,MATCH(C419,'판매구성'!$A$2:$A$501,0)),""))</f>
        <v/>
      </c>
      <c r="L419" s="4">
        <f>IF(OR(J419="",K419=""),"",ROUND(J419-(J419-K419)*'설정'!$B$2,0))</f>
        <v/>
      </c>
      <c r="M419" s="4">
        <f>IF(OR(A419="",J419=""),"",ROUND(J419*N(IFERROR(INDEX('판매채널'!$F$2:$F$501,MATCH(A419,'판매채널'!$A$2:$A$501,0)),"")),0))</f>
        <v/>
      </c>
      <c r="N419" s="4">
        <f>IF(OR(J419="",K419=""),"",J419-M419-K419)</f>
        <v/>
      </c>
      <c r="O419" s="5">
        <f>IF(OR(J419="",J419=0),"",N419/J419)</f>
        <v/>
      </c>
    </row>
    <row r="420">
      <c r="B420" s="2">
        <f>IF(A420="","",IFERROR(INDEX('판매채널'!$B$2:$B$501,MATCH(A420,'판매채널'!$A$2:$A$501,0)),""))</f>
        <v/>
      </c>
      <c r="D420" s="2">
        <f>IF(C420="","",IFERROR(INDEX('판매구성'!$B$2:$B$501,MATCH(C420,'판매구성'!$A$2:$A$501,0)),""))</f>
        <v/>
      </c>
      <c r="G420" s="3" t="n"/>
      <c r="I420" s="2">
        <f>IF(C420="","",IFERROR(INDEX('판매구성'!$C$2:$C$501,MATCH(C420,'판매구성'!$A$2:$A$501,0)),""))</f>
        <v/>
      </c>
      <c r="J420" s="4">
        <f>IF(OR(C420="",E420=""),"",IFERROR(IF(INDEX('가격표'!$D$2:$K$501,MATCH(C420,'가격표'!$A$2:$A$501,0),MATCH(E420,'가격표'!$D$1:$K$1,0))="","",INDEX('가격표'!$D$2:$K$501,MATCH(C420,'가격표'!$A$2:$A$501,0),MATCH(E420,'가격표'!$D$1:$K$1,0))),""))</f>
        <v/>
      </c>
      <c r="K420" s="4">
        <f>IF(C420="","",IFERROR(INDEX('판매구성'!$D$2:$D$501,MATCH(C420,'판매구성'!$A$2:$A$501,0)),""))</f>
        <v/>
      </c>
      <c r="L420" s="4">
        <f>IF(OR(J420="",K420=""),"",ROUND(J420-(J420-K420)*'설정'!$B$2,0))</f>
        <v/>
      </c>
      <c r="M420" s="4">
        <f>IF(OR(A420="",J420=""),"",ROUND(J420*N(IFERROR(INDEX('판매채널'!$F$2:$F$501,MATCH(A420,'판매채널'!$A$2:$A$501,0)),"")),0))</f>
        <v/>
      </c>
      <c r="N420" s="4">
        <f>IF(OR(J420="",K420=""),"",J420-M420-K420)</f>
        <v/>
      </c>
      <c r="O420" s="5">
        <f>IF(OR(J420="",J420=0),"",N420/J420)</f>
        <v/>
      </c>
    </row>
    <row r="421">
      <c r="B421" s="2">
        <f>IF(A421="","",IFERROR(INDEX('판매채널'!$B$2:$B$501,MATCH(A421,'판매채널'!$A$2:$A$501,0)),""))</f>
        <v/>
      </c>
      <c r="D421" s="2">
        <f>IF(C421="","",IFERROR(INDEX('판매구성'!$B$2:$B$501,MATCH(C421,'판매구성'!$A$2:$A$501,0)),""))</f>
        <v/>
      </c>
      <c r="G421" s="3" t="n"/>
      <c r="I421" s="2">
        <f>IF(C421="","",IFERROR(INDEX('판매구성'!$C$2:$C$501,MATCH(C421,'판매구성'!$A$2:$A$501,0)),""))</f>
        <v/>
      </c>
      <c r="J421" s="4">
        <f>IF(OR(C421="",E421=""),"",IFERROR(IF(INDEX('가격표'!$D$2:$K$501,MATCH(C421,'가격표'!$A$2:$A$501,0),MATCH(E421,'가격표'!$D$1:$K$1,0))="","",INDEX('가격표'!$D$2:$K$501,MATCH(C421,'가격표'!$A$2:$A$501,0),MATCH(E421,'가격표'!$D$1:$K$1,0))),""))</f>
        <v/>
      </c>
      <c r="K421" s="4">
        <f>IF(C421="","",IFERROR(INDEX('판매구성'!$D$2:$D$501,MATCH(C421,'판매구성'!$A$2:$A$501,0)),""))</f>
        <v/>
      </c>
      <c r="L421" s="4">
        <f>IF(OR(J421="",K421=""),"",ROUND(J421-(J421-K421)*'설정'!$B$2,0))</f>
        <v/>
      </c>
      <c r="M421" s="4">
        <f>IF(OR(A421="",J421=""),"",ROUND(J421*N(IFERROR(INDEX('판매채널'!$F$2:$F$501,MATCH(A421,'판매채널'!$A$2:$A$501,0)),"")),0))</f>
        <v/>
      </c>
      <c r="N421" s="4">
        <f>IF(OR(J421="",K421=""),"",J421-M421-K421)</f>
        <v/>
      </c>
      <c r="O421" s="5">
        <f>IF(OR(J421="",J421=0),"",N421/J421)</f>
        <v/>
      </c>
    </row>
    <row r="422">
      <c r="B422" s="2">
        <f>IF(A422="","",IFERROR(INDEX('판매채널'!$B$2:$B$501,MATCH(A422,'판매채널'!$A$2:$A$501,0)),""))</f>
        <v/>
      </c>
      <c r="D422" s="2">
        <f>IF(C422="","",IFERROR(INDEX('판매구성'!$B$2:$B$501,MATCH(C422,'판매구성'!$A$2:$A$501,0)),""))</f>
        <v/>
      </c>
      <c r="G422" s="3" t="n"/>
      <c r="I422" s="2">
        <f>IF(C422="","",IFERROR(INDEX('판매구성'!$C$2:$C$501,MATCH(C422,'판매구성'!$A$2:$A$501,0)),""))</f>
        <v/>
      </c>
      <c r="J422" s="4">
        <f>IF(OR(C422="",E422=""),"",IFERROR(IF(INDEX('가격표'!$D$2:$K$501,MATCH(C422,'가격표'!$A$2:$A$501,0),MATCH(E422,'가격표'!$D$1:$K$1,0))="","",INDEX('가격표'!$D$2:$K$501,MATCH(C422,'가격표'!$A$2:$A$501,0),MATCH(E422,'가격표'!$D$1:$K$1,0))),""))</f>
        <v/>
      </c>
      <c r="K422" s="4">
        <f>IF(C422="","",IFERROR(INDEX('판매구성'!$D$2:$D$501,MATCH(C422,'판매구성'!$A$2:$A$501,0)),""))</f>
        <v/>
      </c>
      <c r="L422" s="4">
        <f>IF(OR(J422="",K422=""),"",ROUND(J422-(J422-K422)*'설정'!$B$2,0))</f>
        <v/>
      </c>
      <c r="M422" s="4">
        <f>IF(OR(A422="",J422=""),"",ROUND(J422*N(IFERROR(INDEX('판매채널'!$F$2:$F$501,MATCH(A422,'판매채널'!$A$2:$A$501,0)),"")),0))</f>
        <v/>
      </c>
      <c r="N422" s="4">
        <f>IF(OR(J422="",K422=""),"",J422-M422-K422)</f>
        <v/>
      </c>
      <c r="O422" s="5">
        <f>IF(OR(J422="",J422=0),"",N422/J422)</f>
        <v/>
      </c>
    </row>
    <row r="423">
      <c r="B423" s="2">
        <f>IF(A423="","",IFERROR(INDEX('판매채널'!$B$2:$B$501,MATCH(A423,'판매채널'!$A$2:$A$501,0)),""))</f>
        <v/>
      </c>
      <c r="D423" s="2">
        <f>IF(C423="","",IFERROR(INDEX('판매구성'!$B$2:$B$501,MATCH(C423,'판매구성'!$A$2:$A$501,0)),""))</f>
        <v/>
      </c>
      <c r="G423" s="3" t="n"/>
      <c r="I423" s="2">
        <f>IF(C423="","",IFERROR(INDEX('판매구성'!$C$2:$C$501,MATCH(C423,'판매구성'!$A$2:$A$501,0)),""))</f>
        <v/>
      </c>
      <c r="J423" s="4">
        <f>IF(OR(C423="",E423=""),"",IFERROR(IF(INDEX('가격표'!$D$2:$K$501,MATCH(C423,'가격표'!$A$2:$A$501,0),MATCH(E423,'가격표'!$D$1:$K$1,0))="","",INDEX('가격표'!$D$2:$K$501,MATCH(C423,'가격표'!$A$2:$A$501,0),MATCH(E423,'가격표'!$D$1:$K$1,0))),""))</f>
        <v/>
      </c>
      <c r="K423" s="4">
        <f>IF(C423="","",IFERROR(INDEX('판매구성'!$D$2:$D$501,MATCH(C423,'판매구성'!$A$2:$A$501,0)),""))</f>
        <v/>
      </c>
      <c r="L423" s="4">
        <f>IF(OR(J423="",K423=""),"",ROUND(J423-(J423-K423)*'설정'!$B$2,0))</f>
        <v/>
      </c>
      <c r="M423" s="4">
        <f>IF(OR(A423="",J423=""),"",ROUND(J423*N(IFERROR(INDEX('판매채널'!$F$2:$F$501,MATCH(A423,'판매채널'!$A$2:$A$501,0)),"")),0))</f>
        <v/>
      </c>
      <c r="N423" s="4">
        <f>IF(OR(J423="",K423=""),"",J423-M423-K423)</f>
        <v/>
      </c>
      <c r="O423" s="5">
        <f>IF(OR(J423="",J423=0),"",N423/J423)</f>
        <v/>
      </c>
    </row>
    <row r="424">
      <c r="B424" s="2">
        <f>IF(A424="","",IFERROR(INDEX('판매채널'!$B$2:$B$501,MATCH(A424,'판매채널'!$A$2:$A$501,0)),""))</f>
        <v/>
      </c>
      <c r="D424" s="2">
        <f>IF(C424="","",IFERROR(INDEX('판매구성'!$B$2:$B$501,MATCH(C424,'판매구성'!$A$2:$A$501,0)),""))</f>
        <v/>
      </c>
      <c r="G424" s="3" t="n"/>
      <c r="I424" s="2">
        <f>IF(C424="","",IFERROR(INDEX('판매구성'!$C$2:$C$501,MATCH(C424,'판매구성'!$A$2:$A$501,0)),""))</f>
        <v/>
      </c>
      <c r="J424" s="4">
        <f>IF(OR(C424="",E424=""),"",IFERROR(IF(INDEX('가격표'!$D$2:$K$501,MATCH(C424,'가격표'!$A$2:$A$501,0),MATCH(E424,'가격표'!$D$1:$K$1,0))="","",INDEX('가격표'!$D$2:$K$501,MATCH(C424,'가격표'!$A$2:$A$501,0),MATCH(E424,'가격표'!$D$1:$K$1,0))),""))</f>
        <v/>
      </c>
      <c r="K424" s="4">
        <f>IF(C424="","",IFERROR(INDEX('판매구성'!$D$2:$D$501,MATCH(C424,'판매구성'!$A$2:$A$501,0)),""))</f>
        <v/>
      </c>
      <c r="L424" s="4">
        <f>IF(OR(J424="",K424=""),"",ROUND(J424-(J424-K424)*'설정'!$B$2,0))</f>
        <v/>
      </c>
      <c r="M424" s="4">
        <f>IF(OR(A424="",J424=""),"",ROUND(J424*N(IFERROR(INDEX('판매채널'!$F$2:$F$501,MATCH(A424,'판매채널'!$A$2:$A$501,0)),"")),0))</f>
        <v/>
      </c>
      <c r="N424" s="4">
        <f>IF(OR(J424="",K424=""),"",J424-M424-K424)</f>
        <v/>
      </c>
      <c r="O424" s="5">
        <f>IF(OR(J424="",J424=0),"",N424/J424)</f>
        <v/>
      </c>
    </row>
    <row r="425">
      <c r="B425" s="2">
        <f>IF(A425="","",IFERROR(INDEX('판매채널'!$B$2:$B$501,MATCH(A425,'판매채널'!$A$2:$A$501,0)),""))</f>
        <v/>
      </c>
      <c r="D425" s="2">
        <f>IF(C425="","",IFERROR(INDEX('판매구성'!$B$2:$B$501,MATCH(C425,'판매구성'!$A$2:$A$501,0)),""))</f>
        <v/>
      </c>
      <c r="G425" s="3" t="n"/>
      <c r="I425" s="2">
        <f>IF(C425="","",IFERROR(INDEX('판매구성'!$C$2:$C$501,MATCH(C425,'판매구성'!$A$2:$A$501,0)),""))</f>
        <v/>
      </c>
      <c r="J425" s="4">
        <f>IF(OR(C425="",E425=""),"",IFERROR(IF(INDEX('가격표'!$D$2:$K$501,MATCH(C425,'가격표'!$A$2:$A$501,0),MATCH(E425,'가격표'!$D$1:$K$1,0))="","",INDEX('가격표'!$D$2:$K$501,MATCH(C425,'가격표'!$A$2:$A$501,0),MATCH(E425,'가격표'!$D$1:$K$1,0))),""))</f>
        <v/>
      </c>
      <c r="K425" s="4">
        <f>IF(C425="","",IFERROR(INDEX('판매구성'!$D$2:$D$501,MATCH(C425,'판매구성'!$A$2:$A$501,0)),""))</f>
        <v/>
      </c>
      <c r="L425" s="4">
        <f>IF(OR(J425="",K425=""),"",ROUND(J425-(J425-K425)*'설정'!$B$2,0))</f>
        <v/>
      </c>
      <c r="M425" s="4">
        <f>IF(OR(A425="",J425=""),"",ROUND(J425*N(IFERROR(INDEX('판매채널'!$F$2:$F$501,MATCH(A425,'판매채널'!$A$2:$A$501,0)),"")),0))</f>
        <v/>
      </c>
      <c r="N425" s="4">
        <f>IF(OR(J425="",K425=""),"",J425-M425-K425)</f>
        <v/>
      </c>
      <c r="O425" s="5">
        <f>IF(OR(J425="",J425=0),"",N425/J425)</f>
        <v/>
      </c>
    </row>
    <row r="426">
      <c r="B426" s="2">
        <f>IF(A426="","",IFERROR(INDEX('판매채널'!$B$2:$B$501,MATCH(A426,'판매채널'!$A$2:$A$501,0)),""))</f>
        <v/>
      </c>
      <c r="D426" s="2">
        <f>IF(C426="","",IFERROR(INDEX('판매구성'!$B$2:$B$501,MATCH(C426,'판매구성'!$A$2:$A$501,0)),""))</f>
        <v/>
      </c>
      <c r="G426" s="3" t="n"/>
      <c r="I426" s="2">
        <f>IF(C426="","",IFERROR(INDEX('판매구성'!$C$2:$C$501,MATCH(C426,'판매구성'!$A$2:$A$501,0)),""))</f>
        <v/>
      </c>
      <c r="J426" s="4">
        <f>IF(OR(C426="",E426=""),"",IFERROR(IF(INDEX('가격표'!$D$2:$K$501,MATCH(C426,'가격표'!$A$2:$A$501,0),MATCH(E426,'가격표'!$D$1:$K$1,0))="","",INDEX('가격표'!$D$2:$K$501,MATCH(C426,'가격표'!$A$2:$A$501,0),MATCH(E426,'가격표'!$D$1:$K$1,0))),""))</f>
        <v/>
      </c>
      <c r="K426" s="4">
        <f>IF(C426="","",IFERROR(INDEX('판매구성'!$D$2:$D$501,MATCH(C426,'판매구성'!$A$2:$A$501,0)),""))</f>
        <v/>
      </c>
      <c r="L426" s="4">
        <f>IF(OR(J426="",K426=""),"",ROUND(J426-(J426-K426)*'설정'!$B$2,0))</f>
        <v/>
      </c>
      <c r="M426" s="4">
        <f>IF(OR(A426="",J426=""),"",ROUND(J426*N(IFERROR(INDEX('판매채널'!$F$2:$F$501,MATCH(A426,'판매채널'!$A$2:$A$501,0)),"")),0))</f>
        <v/>
      </c>
      <c r="N426" s="4">
        <f>IF(OR(J426="",K426=""),"",J426-M426-K426)</f>
        <v/>
      </c>
      <c r="O426" s="5">
        <f>IF(OR(J426="",J426=0),"",N426/J426)</f>
        <v/>
      </c>
    </row>
    <row r="427">
      <c r="B427" s="2">
        <f>IF(A427="","",IFERROR(INDEX('판매채널'!$B$2:$B$501,MATCH(A427,'판매채널'!$A$2:$A$501,0)),""))</f>
        <v/>
      </c>
      <c r="D427" s="2">
        <f>IF(C427="","",IFERROR(INDEX('판매구성'!$B$2:$B$501,MATCH(C427,'판매구성'!$A$2:$A$501,0)),""))</f>
        <v/>
      </c>
      <c r="G427" s="3" t="n"/>
      <c r="I427" s="2">
        <f>IF(C427="","",IFERROR(INDEX('판매구성'!$C$2:$C$501,MATCH(C427,'판매구성'!$A$2:$A$501,0)),""))</f>
        <v/>
      </c>
      <c r="J427" s="4">
        <f>IF(OR(C427="",E427=""),"",IFERROR(IF(INDEX('가격표'!$D$2:$K$501,MATCH(C427,'가격표'!$A$2:$A$501,0),MATCH(E427,'가격표'!$D$1:$K$1,0))="","",INDEX('가격표'!$D$2:$K$501,MATCH(C427,'가격표'!$A$2:$A$501,0),MATCH(E427,'가격표'!$D$1:$K$1,0))),""))</f>
        <v/>
      </c>
      <c r="K427" s="4">
        <f>IF(C427="","",IFERROR(INDEX('판매구성'!$D$2:$D$501,MATCH(C427,'판매구성'!$A$2:$A$501,0)),""))</f>
        <v/>
      </c>
      <c r="L427" s="4">
        <f>IF(OR(J427="",K427=""),"",ROUND(J427-(J427-K427)*'설정'!$B$2,0))</f>
        <v/>
      </c>
      <c r="M427" s="4">
        <f>IF(OR(A427="",J427=""),"",ROUND(J427*N(IFERROR(INDEX('판매채널'!$F$2:$F$501,MATCH(A427,'판매채널'!$A$2:$A$501,0)),"")),0))</f>
        <v/>
      </c>
      <c r="N427" s="4">
        <f>IF(OR(J427="",K427=""),"",J427-M427-K427)</f>
        <v/>
      </c>
      <c r="O427" s="5">
        <f>IF(OR(J427="",J427=0),"",N427/J427)</f>
        <v/>
      </c>
    </row>
    <row r="428">
      <c r="B428" s="2">
        <f>IF(A428="","",IFERROR(INDEX('판매채널'!$B$2:$B$501,MATCH(A428,'판매채널'!$A$2:$A$501,0)),""))</f>
        <v/>
      </c>
      <c r="D428" s="2">
        <f>IF(C428="","",IFERROR(INDEX('판매구성'!$B$2:$B$501,MATCH(C428,'판매구성'!$A$2:$A$501,0)),""))</f>
        <v/>
      </c>
      <c r="G428" s="3" t="n"/>
      <c r="I428" s="2">
        <f>IF(C428="","",IFERROR(INDEX('판매구성'!$C$2:$C$501,MATCH(C428,'판매구성'!$A$2:$A$501,0)),""))</f>
        <v/>
      </c>
      <c r="J428" s="4">
        <f>IF(OR(C428="",E428=""),"",IFERROR(IF(INDEX('가격표'!$D$2:$K$501,MATCH(C428,'가격표'!$A$2:$A$501,0),MATCH(E428,'가격표'!$D$1:$K$1,0))="","",INDEX('가격표'!$D$2:$K$501,MATCH(C428,'가격표'!$A$2:$A$501,0),MATCH(E428,'가격표'!$D$1:$K$1,0))),""))</f>
        <v/>
      </c>
      <c r="K428" s="4">
        <f>IF(C428="","",IFERROR(INDEX('판매구성'!$D$2:$D$501,MATCH(C428,'판매구성'!$A$2:$A$501,0)),""))</f>
        <v/>
      </c>
      <c r="L428" s="4">
        <f>IF(OR(J428="",K428=""),"",ROUND(J428-(J428-K428)*'설정'!$B$2,0))</f>
        <v/>
      </c>
      <c r="M428" s="4">
        <f>IF(OR(A428="",J428=""),"",ROUND(J428*N(IFERROR(INDEX('판매채널'!$F$2:$F$501,MATCH(A428,'판매채널'!$A$2:$A$501,0)),"")),0))</f>
        <v/>
      </c>
      <c r="N428" s="4">
        <f>IF(OR(J428="",K428=""),"",J428-M428-K428)</f>
        <v/>
      </c>
      <c r="O428" s="5">
        <f>IF(OR(J428="",J428=0),"",N428/J428)</f>
        <v/>
      </c>
    </row>
    <row r="429">
      <c r="B429" s="2">
        <f>IF(A429="","",IFERROR(INDEX('판매채널'!$B$2:$B$501,MATCH(A429,'판매채널'!$A$2:$A$501,0)),""))</f>
        <v/>
      </c>
      <c r="D429" s="2">
        <f>IF(C429="","",IFERROR(INDEX('판매구성'!$B$2:$B$501,MATCH(C429,'판매구성'!$A$2:$A$501,0)),""))</f>
        <v/>
      </c>
      <c r="G429" s="3" t="n"/>
      <c r="I429" s="2">
        <f>IF(C429="","",IFERROR(INDEX('판매구성'!$C$2:$C$501,MATCH(C429,'판매구성'!$A$2:$A$501,0)),""))</f>
        <v/>
      </c>
      <c r="J429" s="4">
        <f>IF(OR(C429="",E429=""),"",IFERROR(IF(INDEX('가격표'!$D$2:$K$501,MATCH(C429,'가격표'!$A$2:$A$501,0),MATCH(E429,'가격표'!$D$1:$K$1,0))="","",INDEX('가격표'!$D$2:$K$501,MATCH(C429,'가격표'!$A$2:$A$501,0),MATCH(E429,'가격표'!$D$1:$K$1,0))),""))</f>
        <v/>
      </c>
      <c r="K429" s="4">
        <f>IF(C429="","",IFERROR(INDEX('판매구성'!$D$2:$D$501,MATCH(C429,'판매구성'!$A$2:$A$501,0)),""))</f>
        <v/>
      </c>
      <c r="L429" s="4">
        <f>IF(OR(J429="",K429=""),"",ROUND(J429-(J429-K429)*'설정'!$B$2,0))</f>
        <v/>
      </c>
      <c r="M429" s="4">
        <f>IF(OR(A429="",J429=""),"",ROUND(J429*N(IFERROR(INDEX('판매채널'!$F$2:$F$501,MATCH(A429,'판매채널'!$A$2:$A$501,0)),"")),0))</f>
        <v/>
      </c>
      <c r="N429" s="4">
        <f>IF(OR(J429="",K429=""),"",J429-M429-K429)</f>
        <v/>
      </c>
      <c r="O429" s="5">
        <f>IF(OR(J429="",J429=0),"",N429/J429)</f>
        <v/>
      </c>
    </row>
    <row r="430">
      <c r="B430" s="2">
        <f>IF(A430="","",IFERROR(INDEX('판매채널'!$B$2:$B$501,MATCH(A430,'판매채널'!$A$2:$A$501,0)),""))</f>
        <v/>
      </c>
      <c r="D430" s="2">
        <f>IF(C430="","",IFERROR(INDEX('판매구성'!$B$2:$B$501,MATCH(C430,'판매구성'!$A$2:$A$501,0)),""))</f>
        <v/>
      </c>
      <c r="G430" s="3" t="n"/>
      <c r="I430" s="2">
        <f>IF(C430="","",IFERROR(INDEX('판매구성'!$C$2:$C$501,MATCH(C430,'판매구성'!$A$2:$A$501,0)),""))</f>
        <v/>
      </c>
      <c r="J430" s="4">
        <f>IF(OR(C430="",E430=""),"",IFERROR(IF(INDEX('가격표'!$D$2:$K$501,MATCH(C430,'가격표'!$A$2:$A$501,0),MATCH(E430,'가격표'!$D$1:$K$1,0))="","",INDEX('가격표'!$D$2:$K$501,MATCH(C430,'가격표'!$A$2:$A$501,0),MATCH(E430,'가격표'!$D$1:$K$1,0))),""))</f>
        <v/>
      </c>
      <c r="K430" s="4">
        <f>IF(C430="","",IFERROR(INDEX('판매구성'!$D$2:$D$501,MATCH(C430,'판매구성'!$A$2:$A$501,0)),""))</f>
        <v/>
      </c>
      <c r="L430" s="4">
        <f>IF(OR(J430="",K430=""),"",ROUND(J430-(J430-K430)*'설정'!$B$2,0))</f>
        <v/>
      </c>
      <c r="M430" s="4">
        <f>IF(OR(A430="",J430=""),"",ROUND(J430*N(IFERROR(INDEX('판매채널'!$F$2:$F$501,MATCH(A430,'판매채널'!$A$2:$A$501,0)),"")),0))</f>
        <v/>
      </c>
      <c r="N430" s="4">
        <f>IF(OR(J430="",K430=""),"",J430-M430-K430)</f>
        <v/>
      </c>
      <c r="O430" s="5">
        <f>IF(OR(J430="",J430=0),"",N430/J430)</f>
        <v/>
      </c>
    </row>
    <row r="431">
      <c r="B431" s="2">
        <f>IF(A431="","",IFERROR(INDEX('판매채널'!$B$2:$B$501,MATCH(A431,'판매채널'!$A$2:$A$501,0)),""))</f>
        <v/>
      </c>
      <c r="D431" s="2">
        <f>IF(C431="","",IFERROR(INDEX('판매구성'!$B$2:$B$501,MATCH(C431,'판매구성'!$A$2:$A$501,0)),""))</f>
        <v/>
      </c>
      <c r="G431" s="3" t="n"/>
      <c r="I431" s="2">
        <f>IF(C431="","",IFERROR(INDEX('판매구성'!$C$2:$C$501,MATCH(C431,'판매구성'!$A$2:$A$501,0)),""))</f>
        <v/>
      </c>
      <c r="J431" s="4">
        <f>IF(OR(C431="",E431=""),"",IFERROR(IF(INDEX('가격표'!$D$2:$K$501,MATCH(C431,'가격표'!$A$2:$A$501,0),MATCH(E431,'가격표'!$D$1:$K$1,0))="","",INDEX('가격표'!$D$2:$K$501,MATCH(C431,'가격표'!$A$2:$A$501,0),MATCH(E431,'가격표'!$D$1:$K$1,0))),""))</f>
        <v/>
      </c>
      <c r="K431" s="4">
        <f>IF(C431="","",IFERROR(INDEX('판매구성'!$D$2:$D$501,MATCH(C431,'판매구성'!$A$2:$A$501,0)),""))</f>
        <v/>
      </c>
      <c r="L431" s="4">
        <f>IF(OR(J431="",K431=""),"",ROUND(J431-(J431-K431)*'설정'!$B$2,0))</f>
        <v/>
      </c>
      <c r="M431" s="4">
        <f>IF(OR(A431="",J431=""),"",ROUND(J431*N(IFERROR(INDEX('판매채널'!$F$2:$F$501,MATCH(A431,'판매채널'!$A$2:$A$501,0)),"")),0))</f>
        <v/>
      </c>
      <c r="N431" s="4">
        <f>IF(OR(J431="",K431=""),"",J431-M431-K431)</f>
        <v/>
      </c>
      <c r="O431" s="5">
        <f>IF(OR(J431="",J431=0),"",N431/J431)</f>
        <v/>
      </c>
    </row>
    <row r="432">
      <c r="B432" s="2">
        <f>IF(A432="","",IFERROR(INDEX('판매채널'!$B$2:$B$501,MATCH(A432,'판매채널'!$A$2:$A$501,0)),""))</f>
        <v/>
      </c>
      <c r="D432" s="2">
        <f>IF(C432="","",IFERROR(INDEX('판매구성'!$B$2:$B$501,MATCH(C432,'판매구성'!$A$2:$A$501,0)),""))</f>
        <v/>
      </c>
      <c r="G432" s="3" t="n"/>
      <c r="I432" s="2">
        <f>IF(C432="","",IFERROR(INDEX('판매구성'!$C$2:$C$501,MATCH(C432,'판매구성'!$A$2:$A$501,0)),""))</f>
        <v/>
      </c>
      <c r="J432" s="4">
        <f>IF(OR(C432="",E432=""),"",IFERROR(IF(INDEX('가격표'!$D$2:$K$501,MATCH(C432,'가격표'!$A$2:$A$501,0),MATCH(E432,'가격표'!$D$1:$K$1,0))="","",INDEX('가격표'!$D$2:$K$501,MATCH(C432,'가격표'!$A$2:$A$501,0),MATCH(E432,'가격표'!$D$1:$K$1,0))),""))</f>
        <v/>
      </c>
      <c r="K432" s="4">
        <f>IF(C432="","",IFERROR(INDEX('판매구성'!$D$2:$D$501,MATCH(C432,'판매구성'!$A$2:$A$501,0)),""))</f>
        <v/>
      </c>
      <c r="L432" s="4">
        <f>IF(OR(J432="",K432=""),"",ROUND(J432-(J432-K432)*'설정'!$B$2,0))</f>
        <v/>
      </c>
      <c r="M432" s="4">
        <f>IF(OR(A432="",J432=""),"",ROUND(J432*N(IFERROR(INDEX('판매채널'!$F$2:$F$501,MATCH(A432,'판매채널'!$A$2:$A$501,0)),"")),0))</f>
        <v/>
      </c>
      <c r="N432" s="4">
        <f>IF(OR(J432="",K432=""),"",J432-M432-K432)</f>
        <v/>
      </c>
      <c r="O432" s="5">
        <f>IF(OR(J432="",J432=0),"",N432/J432)</f>
        <v/>
      </c>
    </row>
    <row r="433">
      <c r="B433" s="2">
        <f>IF(A433="","",IFERROR(INDEX('판매채널'!$B$2:$B$501,MATCH(A433,'판매채널'!$A$2:$A$501,0)),""))</f>
        <v/>
      </c>
      <c r="D433" s="2">
        <f>IF(C433="","",IFERROR(INDEX('판매구성'!$B$2:$B$501,MATCH(C433,'판매구성'!$A$2:$A$501,0)),""))</f>
        <v/>
      </c>
      <c r="G433" s="3" t="n"/>
      <c r="I433" s="2">
        <f>IF(C433="","",IFERROR(INDEX('판매구성'!$C$2:$C$501,MATCH(C433,'판매구성'!$A$2:$A$501,0)),""))</f>
        <v/>
      </c>
      <c r="J433" s="4">
        <f>IF(OR(C433="",E433=""),"",IFERROR(IF(INDEX('가격표'!$D$2:$K$501,MATCH(C433,'가격표'!$A$2:$A$501,0),MATCH(E433,'가격표'!$D$1:$K$1,0))="","",INDEX('가격표'!$D$2:$K$501,MATCH(C433,'가격표'!$A$2:$A$501,0),MATCH(E433,'가격표'!$D$1:$K$1,0))),""))</f>
        <v/>
      </c>
      <c r="K433" s="4">
        <f>IF(C433="","",IFERROR(INDEX('판매구성'!$D$2:$D$501,MATCH(C433,'판매구성'!$A$2:$A$501,0)),""))</f>
        <v/>
      </c>
      <c r="L433" s="4">
        <f>IF(OR(J433="",K433=""),"",ROUND(J433-(J433-K433)*'설정'!$B$2,0))</f>
        <v/>
      </c>
      <c r="M433" s="4">
        <f>IF(OR(A433="",J433=""),"",ROUND(J433*N(IFERROR(INDEX('판매채널'!$F$2:$F$501,MATCH(A433,'판매채널'!$A$2:$A$501,0)),"")),0))</f>
        <v/>
      </c>
      <c r="N433" s="4">
        <f>IF(OR(J433="",K433=""),"",J433-M433-K433)</f>
        <v/>
      </c>
      <c r="O433" s="5">
        <f>IF(OR(J433="",J433=0),"",N433/J433)</f>
        <v/>
      </c>
    </row>
    <row r="434">
      <c r="B434" s="2">
        <f>IF(A434="","",IFERROR(INDEX('판매채널'!$B$2:$B$501,MATCH(A434,'판매채널'!$A$2:$A$501,0)),""))</f>
        <v/>
      </c>
      <c r="D434" s="2">
        <f>IF(C434="","",IFERROR(INDEX('판매구성'!$B$2:$B$501,MATCH(C434,'판매구성'!$A$2:$A$501,0)),""))</f>
        <v/>
      </c>
      <c r="G434" s="3" t="n"/>
      <c r="I434" s="2">
        <f>IF(C434="","",IFERROR(INDEX('판매구성'!$C$2:$C$501,MATCH(C434,'판매구성'!$A$2:$A$501,0)),""))</f>
        <v/>
      </c>
      <c r="J434" s="4">
        <f>IF(OR(C434="",E434=""),"",IFERROR(IF(INDEX('가격표'!$D$2:$K$501,MATCH(C434,'가격표'!$A$2:$A$501,0),MATCH(E434,'가격표'!$D$1:$K$1,0))="","",INDEX('가격표'!$D$2:$K$501,MATCH(C434,'가격표'!$A$2:$A$501,0),MATCH(E434,'가격표'!$D$1:$K$1,0))),""))</f>
        <v/>
      </c>
      <c r="K434" s="4">
        <f>IF(C434="","",IFERROR(INDEX('판매구성'!$D$2:$D$501,MATCH(C434,'판매구성'!$A$2:$A$501,0)),""))</f>
        <v/>
      </c>
      <c r="L434" s="4">
        <f>IF(OR(J434="",K434=""),"",ROUND(J434-(J434-K434)*'설정'!$B$2,0))</f>
        <v/>
      </c>
      <c r="M434" s="4">
        <f>IF(OR(A434="",J434=""),"",ROUND(J434*N(IFERROR(INDEX('판매채널'!$F$2:$F$501,MATCH(A434,'판매채널'!$A$2:$A$501,0)),"")),0))</f>
        <v/>
      </c>
      <c r="N434" s="4">
        <f>IF(OR(J434="",K434=""),"",J434-M434-K434)</f>
        <v/>
      </c>
      <c r="O434" s="5">
        <f>IF(OR(J434="",J434=0),"",N434/J434)</f>
        <v/>
      </c>
    </row>
    <row r="435">
      <c r="B435" s="2">
        <f>IF(A435="","",IFERROR(INDEX('판매채널'!$B$2:$B$501,MATCH(A435,'판매채널'!$A$2:$A$501,0)),""))</f>
        <v/>
      </c>
      <c r="D435" s="2">
        <f>IF(C435="","",IFERROR(INDEX('판매구성'!$B$2:$B$501,MATCH(C435,'판매구성'!$A$2:$A$501,0)),""))</f>
        <v/>
      </c>
      <c r="G435" s="3" t="n"/>
      <c r="I435" s="2">
        <f>IF(C435="","",IFERROR(INDEX('판매구성'!$C$2:$C$501,MATCH(C435,'판매구성'!$A$2:$A$501,0)),""))</f>
        <v/>
      </c>
      <c r="J435" s="4">
        <f>IF(OR(C435="",E435=""),"",IFERROR(IF(INDEX('가격표'!$D$2:$K$501,MATCH(C435,'가격표'!$A$2:$A$501,0),MATCH(E435,'가격표'!$D$1:$K$1,0))="","",INDEX('가격표'!$D$2:$K$501,MATCH(C435,'가격표'!$A$2:$A$501,0),MATCH(E435,'가격표'!$D$1:$K$1,0))),""))</f>
        <v/>
      </c>
      <c r="K435" s="4">
        <f>IF(C435="","",IFERROR(INDEX('판매구성'!$D$2:$D$501,MATCH(C435,'판매구성'!$A$2:$A$501,0)),""))</f>
        <v/>
      </c>
      <c r="L435" s="4">
        <f>IF(OR(J435="",K435=""),"",ROUND(J435-(J435-K435)*'설정'!$B$2,0))</f>
        <v/>
      </c>
      <c r="M435" s="4">
        <f>IF(OR(A435="",J435=""),"",ROUND(J435*N(IFERROR(INDEX('판매채널'!$F$2:$F$501,MATCH(A435,'판매채널'!$A$2:$A$501,0)),"")),0))</f>
        <v/>
      </c>
      <c r="N435" s="4">
        <f>IF(OR(J435="",K435=""),"",J435-M435-K435)</f>
        <v/>
      </c>
      <c r="O435" s="5">
        <f>IF(OR(J435="",J435=0),"",N435/J435)</f>
        <v/>
      </c>
    </row>
    <row r="436">
      <c r="B436" s="2">
        <f>IF(A436="","",IFERROR(INDEX('판매채널'!$B$2:$B$501,MATCH(A436,'판매채널'!$A$2:$A$501,0)),""))</f>
        <v/>
      </c>
      <c r="D436" s="2">
        <f>IF(C436="","",IFERROR(INDEX('판매구성'!$B$2:$B$501,MATCH(C436,'판매구성'!$A$2:$A$501,0)),""))</f>
        <v/>
      </c>
      <c r="G436" s="3" t="n"/>
      <c r="I436" s="2">
        <f>IF(C436="","",IFERROR(INDEX('판매구성'!$C$2:$C$501,MATCH(C436,'판매구성'!$A$2:$A$501,0)),""))</f>
        <v/>
      </c>
      <c r="J436" s="4">
        <f>IF(OR(C436="",E436=""),"",IFERROR(IF(INDEX('가격표'!$D$2:$K$501,MATCH(C436,'가격표'!$A$2:$A$501,0),MATCH(E436,'가격표'!$D$1:$K$1,0))="","",INDEX('가격표'!$D$2:$K$501,MATCH(C436,'가격표'!$A$2:$A$501,0),MATCH(E436,'가격표'!$D$1:$K$1,0))),""))</f>
        <v/>
      </c>
      <c r="K436" s="4">
        <f>IF(C436="","",IFERROR(INDEX('판매구성'!$D$2:$D$501,MATCH(C436,'판매구성'!$A$2:$A$501,0)),""))</f>
        <v/>
      </c>
      <c r="L436" s="4">
        <f>IF(OR(J436="",K436=""),"",ROUND(J436-(J436-K436)*'설정'!$B$2,0))</f>
        <v/>
      </c>
      <c r="M436" s="4">
        <f>IF(OR(A436="",J436=""),"",ROUND(J436*N(IFERROR(INDEX('판매채널'!$F$2:$F$501,MATCH(A436,'판매채널'!$A$2:$A$501,0)),"")),0))</f>
        <v/>
      </c>
      <c r="N436" s="4">
        <f>IF(OR(J436="",K436=""),"",J436-M436-K436)</f>
        <v/>
      </c>
      <c r="O436" s="5">
        <f>IF(OR(J436="",J436=0),"",N436/J436)</f>
        <v/>
      </c>
    </row>
    <row r="437">
      <c r="B437" s="2">
        <f>IF(A437="","",IFERROR(INDEX('판매채널'!$B$2:$B$501,MATCH(A437,'판매채널'!$A$2:$A$501,0)),""))</f>
        <v/>
      </c>
      <c r="D437" s="2">
        <f>IF(C437="","",IFERROR(INDEX('판매구성'!$B$2:$B$501,MATCH(C437,'판매구성'!$A$2:$A$501,0)),""))</f>
        <v/>
      </c>
      <c r="G437" s="3" t="n"/>
      <c r="I437" s="2">
        <f>IF(C437="","",IFERROR(INDEX('판매구성'!$C$2:$C$501,MATCH(C437,'판매구성'!$A$2:$A$501,0)),""))</f>
        <v/>
      </c>
      <c r="J437" s="4">
        <f>IF(OR(C437="",E437=""),"",IFERROR(IF(INDEX('가격표'!$D$2:$K$501,MATCH(C437,'가격표'!$A$2:$A$501,0),MATCH(E437,'가격표'!$D$1:$K$1,0))="","",INDEX('가격표'!$D$2:$K$501,MATCH(C437,'가격표'!$A$2:$A$501,0),MATCH(E437,'가격표'!$D$1:$K$1,0))),""))</f>
        <v/>
      </c>
      <c r="K437" s="4">
        <f>IF(C437="","",IFERROR(INDEX('판매구성'!$D$2:$D$501,MATCH(C437,'판매구성'!$A$2:$A$501,0)),""))</f>
        <v/>
      </c>
      <c r="L437" s="4">
        <f>IF(OR(J437="",K437=""),"",ROUND(J437-(J437-K437)*'설정'!$B$2,0))</f>
        <v/>
      </c>
      <c r="M437" s="4">
        <f>IF(OR(A437="",J437=""),"",ROUND(J437*N(IFERROR(INDEX('판매채널'!$F$2:$F$501,MATCH(A437,'판매채널'!$A$2:$A$501,0)),"")),0))</f>
        <v/>
      </c>
      <c r="N437" s="4">
        <f>IF(OR(J437="",K437=""),"",J437-M437-K437)</f>
        <v/>
      </c>
      <c r="O437" s="5">
        <f>IF(OR(J437="",J437=0),"",N437/J437)</f>
        <v/>
      </c>
    </row>
    <row r="438">
      <c r="B438" s="2">
        <f>IF(A438="","",IFERROR(INDEX('판매채널'!$B$2:$B$501,MATCH(A438,'판매채널'!$A$2:$A$501,0)),""))</f>
        <v/>
      </c>
      <c r="D438" s="2">
        <f>IF(C438="","",IFERROR(INDEX('판매구성'!$B$2:$B$501,MATCH(C438,'판매구성'!$A$2:$A$501,0)),""))</f>
        <v/>
      </c>
      <c r="G438" s="3" t="n"/>
      <c r="I438" s="2">
        <f>IF(C438="","",IFERROR(INDEX('판매구성'!$C$2:$C$501,MATCH(C438,'판매구성'!$A$2:$A$501,0)),""))</f>
        <v/>
      </c>
      <c r="J438" s="4">
        <f>IF(OR(C438="",E438=""),"",IFERROR(IF(INDEX('가격표'!$D$2:$K$501,MATCH(C438,'가격표'!$A$2:$A$501,0),MATCH(E438,'가격표'!$D$1:$K$1,0))="","",INDEX('가격표'!$D$2:$K$501,MATCH(C438,'가격표'!$A$2:$A$501,0),MATCH(E438,'가격표'!$D$1:$K$1,0))),""))</f>
        <v/>
      </c>
      <c r="K438" s="4">
        <f>IF(C438="","",IFERROR(INDEX('판매구성'!$D$2:$D$501,MATCH(C438,'판매구성'!$A$2:$A$501,0)),""))</f>
        <v/>
      </c>
      <c r="L438" s="4">
        <f>IF(OR(J438="",K438=""),"",ROUND(J438-(J438-K438)*'설정'!$B$2,0))</f>
        <v/>
      </c>
      <c r="M438" s="4">
        <f>IF(OR(A438="",J438=""),"",ROUND(J438*N(IFERROR(INDEX('판매채널'!$F$2:$F$501,MATCH(A438,'판매채널'!$A$2:$A$501,0)),"")),0))</f>
        <v/>
      </c>
      <c r="N438" s="4">
        <f>IF(OR(J438="",K438=""),"",J438-M438-K438)</f>
        <v/>
      </c>
      <c r="O438" s="5">
        <f>IF(OR(J438="",J438=0),"",N438/J438)</f>
        <v/>
      </c>
    </row>
    <row r="439">
      <c r="B439" s="2">
        <f>IF(A439="","",IFERROR(INDEX('판매채널'!$B$2:$B$501,MATCH(A439,'판매채널'!$A$2:$A$501,0)),""))</f>
        <v/>
      </c>
      <c r="D439" s="2">
        <f>IF(C439="","",IFERROR(INDEX('판매구성'!$B$2:$B$501,MATCH(C439,'판매구성'!$A$2:$A$501,0)),""))</f>
        <v/>
      </c>
      <c r="G439" s="3" t="n"/>
      <c r="I439" s="2">
        <f>IF(C439="","",IFERROR(INDEX('판매구성'!$C$2:$C$501,MATCH(C439,'판매구성'!$A$2:$A$501,0)),""))</f>
        <v/>
      </c>
      <c r="J439" s="4">
        <f>IF(OR(C439="",E439=""),"",IFERROR(IF(INDEX('가격표'!$D$2:$K$501,MATCH(C439,'가격표'!$A$2:$A$501,0),MATCH(E439,'가격표'!$D$1:$K$1,0))="","",INDEX('가격표'!$D$2:$K$501,MATCH(C439,'가격표'!$A$2:$A$501,0),MATCH(E439,'가격표'!$D$1:$K$1,0))),""))</f>
        <v/>
      </c>
      <c r="K439" s="4">
        <f>IF(C439="","",IFERROR(INDEX('판매구성'!$D$2:$D$501,MATCH(C439,'판매구성'!$A$2:$A$501,0)),""))</f>
        <v/>
      </c>
      <c r="L439" s="4">
        <f>IF(OR(J439="",K439=""),"",ROUND(J439-(J439-K439)*'설정'!$B$2,0))</f>
        <v/>
      </c>
      <c r="M439" s="4">
        <f>IF(OR(A439="",J439=""),"",ROUND(J439*N(IFERROR(INDEX('판매채널'!$F$2:$F$501,MATCH(A439,'판매채널'!$A$2:$A$501,0)),"")),0))</f>
        <v/>
      </c>
      <c r="N439" s="4">
        <f>IF(OR(J439="",K439=""),"",J439-M439-K439)</f>
        <v/>
      </c>
      <c r="O439" s="5">
        <f>IF(OR(J439="",J439=0),"",N439/J439)</f>
        <v/>
      </c>
    </row>
    <row r="440">
      <c r="B440" s="2">
        <f>IF(A440="","",IFERROR(INDEX('판매채널'!$B$2:$B$501,MATCH(A440,'판매채널'!$A$2:$A$501,0)),""))</f>
        <v/>
      </c>
      <c r="D440" s="2">
        <f>IF(C440="","",IFERROR(INDEX('판매구성'!$B$2:$B$501,MATCH(C440,'판매구성'!$A$2:$A$501,0)),""))</f>
        <v/>
      </c>
      <c r="G440" s="3" t="n"/>
      <c r="I440" s="2">
        <f>IF(C440="","",IFERROR(INDEX('판매구성'!$C$2:$C$501,MATCH(C440,'판매구성'!$A$2:$A$501,0)),""))</f>
        <v/>
      </c>
      <c r="J440" s="4">
        <f>IF(OR(C440="",E440=""),"",IFERROR(IF(INDEX('가격표'!$D$2:$K$501,MATCH(C440,'가격표'!$A$2:$A$501,0),MATCH(E440,'가격표'!$D$1:$K$1,0))="","",INDEX('가격표'!$D$2:$K$501,MATCH(C440,'가격표'!$A$2:$A$501,0),MATCH(E440,'가격표'!$D$1:$K$1,0))),""))</f>
        <v/>
      </c>
      <c r="K440" s="4">
        <f>IF(C440="","",IFERROR(INDEX('판매구성'!$D$2:$D$501,MATCH(C440,'판매구성'!$A$2:$A$501,0)),""))</f>
        <v/>
      </c>
      <c r="L440" s="4">
        <f>IF(OR(J440="",K440=""),"",ROUND(J440-(J440-K440)*'설정'!$B$2,0))</f>
        <v/>
      </c>
      <c r="M440" s="4">
        <f>IF(OR(A440="",J440=""),"",ROUND(J440*N(IFERROR(INDEX('판매채널'!$F$2:$F$501,MATCH(A440,'판매채널'!$A$2:$A$501,0)),"")),0))</f>
        <v/>
      </c>
      <c r="N440" s="4">
        <f>IF(OR(J440="",K440=""),"",J440-M440-K440)</f>
        <v/>
      </c>
      <c r="O440" s="5">
        <f>IF(OR(J440="",J440=0),"",N440/J440)</f>
        <v/>
      </c>
    </row>
    <row r="441">
      <c r="B441" s="2">
        <f>IF(A441="","",IFERROR(INDEX('판매채널'!$B$2:$B$501,MATCH(A441,'판매채널'!$A$2:$A$501,0)),""))</f>
        <v/>
      </c>
      <c r="D441" s="2">
        <f>IF(C441="","",IFERROR(INDEX('판매구성'!$B$2:$B$501,MATCH(C441,'판매구성'!$A$2:$A$501,0)),""))</f>
        <v/>
      </c>
      <c r="G441" s="3" t="n"/>
      <c r="I441" s="2">
        <f>IF(C441="","",IFERROR(INDEX('판매구성'!$C$2:$C$501,MATCH(C441,'판매구성'!$A$2:$A$501,0)),""))</f>
        <v/>
      </c>
      <c r="J441" s="4">
        <f>IF(OR(C441="",E441=""),"",IFERROR(IF(INDEX('가격표'!$D$2:$K$501,MATCH(C441,'가격표'!$A$2:$A$501,0),MATCH(E441,'가격표'!$D$1:$K$1,0))="","",INDEX('가격표'!$D$2:$K$501,MATCH(C441,'가격표'!$A$2:$A$501,0),MATCH(E441,'가격표'!$D$1:$K$1,0))),""))</f>
        <v/>
      </c>
      <c r="K441" s="4">
        <f>IF(C441="","",IFERROR(INDEX('판매구성'!$D$2:$D$501,MATCH(C441,'판매구성'!$A$2:$A$501,0)),""))</f>
        <v/>
      </c>
      <c r="L441" s="4">
        <f>IF(OR(J441="",K441=""),"",ROUND(J441-(J441-K441)*'설정'!$B$2,0))</f>
        <v/>
      </c>
      <c r="M441" s="4">
        <f>IF(OR(A441="",J441=""),"",ROUND(J441*N(IFERROR(INDEX('판매채널'!$F$2:$F$501,MATCH(A441,'판매채널'!$A$2:$A$501,0)),"")),0))</f>
        <v/>
      </c>
      <c r="N441" s="4">
        <f>IF(OR(J441="",K441=""),"",J441-M441-K441)</f>
        <v/>
      </c>
      <c r="O441" s="5">
        <f>IF(OR(J441="",J441=0),"",N441/J441)</f>
        <v/>
      </c>
    </row>
    <row r="442">
      <c r="B442" s="2">
        <f>IF(A442="","",IFERROR(INDEX('판매채널'!$B$2:$B$501,MATCH(A442,'판매채널'!$A$2:$A$501,0)),""))</f>
        <v/>
      </c>
      <c r="D442" s="2">
        <f>IF(C442="","",IFERROR(INDEX('판매구성'!$B$2:$B$501,MATCH(C442,'판매구성'!$A$2:$A$501,0)),""))</f>
        <v/>
      </c>
      <c r="G442" s="3" t="n"/>
      <c r="I442" s="2">
        <f>IF(C442="","",IFERROR(INDEX('판매구성'!$C$2:$C$501,MATCH(C442,'판매구성'!$A$2:$A$501,0)),""))</f>
        <v/>
      </c>
      <c r="J442" s="4">
        <f>IF(OR(C442="",E442=""),"",IFERROR(IF(INDEX('가격표'!$D$2:$K$501,MATCH(C442,'가격표'!$A$2:$A$501,0),MATCH(E442,'가격표'!$D$1:$K$1,0))="","",INDEX('가격표'!$D$2:$K$501,MATCH(C442,'가격표'!$A$2:$A$501,0),MATCH(E442,'가격표'!$D$1:$K$1,0))),""))</f>
        <v/>
      </c>
      <c r="K442" s="4">
        <f>IF(C442="","",IFERROR(INDEX('판매구성'!$D$2:$D$501,MATCH(C442,'판매구성'!$A$2:$A$501,0)),""))</f>
        <v/>
      </c>
      <c r="L442" s="4">
        <f>IF(OR(J442="",K442=""),"",ROUND(J442-(J442-K442)*'설정'!$B$2,0))</f>
        <v/>
      </c>
      <c r="M442" s="4">
        <f>IF(OR(A442="",J442=""),"",ROUND(J442*N(IFERROR(INDEX('판매채널'!$F$2:$F$501,MATCH(A442,'판매채널'!$A$2:$A$501,0)),"")),0))</f>
        <v/>
      </c>
      <c r="N442" s="4">
        <f>IF(OR(J442="",K442=""),"",J442-M442-K442)</f>
        <v/>
      </c>
      <c r="O442" s="5">
        <f>IF(OR(J442="",J442=0),"",N442/J442)</f>
        <v/>
      </c>
    </row>
    <row r="443">
      <c r="B443" s="2">
        <f>IF(A443="","",IFERROR(INDEX('판매채널'!$B$2:$B$501,MATCH(A443,'판매채널'!$A$2:$A$501,0)),""))</f>
        <v/>
      </c>
      <c r="D443" s="2">
        <f>IF(C443="","",IFERROR(INDEX('판매구성'!$B$2:$B$501,MATCH(C443,'판매구성'!$A$2:$A$501,0)),""))</f>
        <v/>
      </c>
      <c r="G443" s="3" t="n"/>
      <c r="I443" s="2">
        <f>IF(C443="","",IFERROR(INDEX('판매구성'!$C$2:$C$501,MATCH(C443,'판매구성'!$A$2:$A$501,0)),""))</f>
        <v/>
      </c>
      <c r="J443" s="4">
        <f>IF(OR(C443="",E443=""),"",IFERROR(IF(INDEX('가격표'!$D$2:$K$501,MATCH(C443,'가격표'!$A$2:$A$501,0),MATCH(E443,'가격표'!$D$1:$K$1,0))="","",INDEX('가격표'!$D$2:$K$501,MATCH(C443,'가격표'!$A$2:$A$501,0),MATCH(E443,'가격표'!$D$1:$K$1,0))),""))</f>
        <v/>
      </c>
      <c r="K443" s="4">
        <f>IF(C443="","",IFERROR(INDEX('판매구성'!$D$2:$D$501,MATCH(C443,'판매구성'!$A$2:$A$501,0)),""))</f>
        <v/>
      </c>
      <c r="L443" s="4">
        <f>IF(OR(J443="",K443=""),"",ROUND(J443-(J443-K443)*'설정'!$B$2,0))</f>
        <v/>
      </c>
      <c r="M443" s="4">
        <f>IF(OR(A443="",J443=""),"",ROUND(J443*N(IFERROR(INDEX('판매채널'!$F$2:$F$501,MATCH(A443,'판매채널'!$A$2:$A$501,0)),"")),0))</f>
        <v/>
      </c>
      <c r="N443" s="4">
        <f>IF(OR(J443="",K443=""),"",J443-M443-K443)</f>
        <v/>
      </c>
      <c r="O443" s="5">
        <f>IF(OR(J443="",J443=0),"",N443/J443)</f>
        <v/>
      </c>
    </row>
    <row r="444">
      <c r="B444" s="2">
        <f>IF(A444="","",IFERROR(INDEX('판매채널'!$B$2:$B$501,MATCH(A444,'판매채널'!$A$2:$A$501,0)),""))</f>
        <v/>
      </c>
      <c r="D444" s="2">
        <f>IF(C444="","",IFERROR(INDEX('판매구성'!$B$2:$B$501,MATCH(C444,'판매구성'!$A$2:$A$501,0)),""))</f>
        <v/>
      </c>
      <c r="G444" s="3" t="n"/>
      <c r="I444" s="2">
        <f>IF(C444="","",IFERROR(INDEX('판매구성'!$C$2:$C$501,MATCH(C444,'판매구성'!$A$2:$A$501,0)),""))</f>
        <v/>
      </c>
      <c r="J444" s="4">
        <f>IF(OR(C444="",E444=""),"",IFERROR(IF(INDEX('가격표'!$D$2:$K$501,MATCH(C444,'가격표'!$A$2:$A$501,0),MATCH(E444,'가격표'!$D$1:$K$1,0))="","",INDEX('가격표'!$D$2:$K$501,MATCH(C444,'가격표'!$A$2:$A$501,0),MATCH(E444,'가격표'!$D$1:$K$1,0))),""))</f>
        <v/>
      </c>
      <c r="K444" s="4">
        <f>IF(C444="","",IFERROR(INDEX('판매구성'!$D$2:$D$501,MATCH(C444,'판매구성'!$A$2:$A$501,0)),""))</f>
        <v/>
      </c>
      <c r="L444" s="4">
        <f>IF(OR(J444="",K444=""),"",ROUND(J444-(J444-K444)*'설정'!$B$2,0))</f>
        <v/>
      </c>
      <c r="M444" s="4">
        <f>IF(OR(A444="",J444=""),"",ROUND(J444*N(IFERROR(INDEX('판매채널'!$F$2:$F$501,MATCH(A444,'판매채널'!$A$2:$A$501,0)),"")),0))</f>
        <v/>
      </c>
      <c r="N444" s="4">
        <f>IF(OR(J444="",K444=""),"",J444-M444-K444)</f>
        <v/>
      </c>
      <c r="O444" s="5">
        <f>IF(OR(J444="",J444=0),"",N444/J444)</f>
        <v/>
      </c>
    </row>
    <row r="445">
      <c r="B445" s="2">
        <f>IF(A445="","",IFERROR(INDEX('판매채널'!$B$2:$B$501,MATCH(A445,'판매채널'!$A$2:$A$501,0)),""))</f>
        <v/>
      </c>
      <c r="D445" s="2">
        <f>IF(C445="","",IFERROR(INDEX('판매구성'!$B$2:$B$501,MATCH(C445,'판매구성'!$A$2:$A$501,0)),""))</f>
        <v/>
      </c>
      <c r="G445" s="3" t="n"/>
      <c r="I445" s="2">
        <f>IF(C445="","",IFERROR(INDEX('판매구성'!$C$2:$C$501,MATCH(C445,'판매구성'!$A$2:$A$501,0)),""))</f>
        <v/>
      </c>
      <c r="J445" s="4">
        <f>IF(OR(C445="",E445=""),"",IFERROR(IF(INDEX('가격표'!$D$2:$K$501,MATCH(C445,'가격표'!$A$2:$A$501,0),MATCH(E445,'가격표'!$D$1:$K$1,0))="","",INDEX('가격표'!$D$2:$K$501,MATCH(C445,'가격표'!$A$2:$A$501,0),MATCH(E445,'가격표'!$D$1:$K$1,0))),""))</f>
        <v/>
      </c>
      <c r="K445" s="4">
        <f>IF(C445="","",IFERROR(INDEX('판매구성'!$D$2:$D$501,MATCH(C445,'판매구성'!$A$2:$A$501,0)),""))</f>
        <v/>
      </c>
      <c r="L445" s="4">
        <f>IF(OR(J445="",K445=""),"",ROUND(J445-(J445-K445)*'설정'!$B$2,0))</f>
        <v/>
      </c>
      <c r="M445" s="4">
        <f>IF(OR(A445="",J445=""),"",ROUND(J445*N(IFERROR(INDEX('판매채널'!$F$2:$F$501,MATCH(A445,'판매채널'!$A$2:$A$501,0)),"")),0))</f>
        <v/>
      </c>
      <c r="N445" s="4">
        <f>IF(OR(J445="",K445=""),"",J445-M445-K445)</f>
        <v/>
      </c>
      <c r="O445" s="5">
        <f>IF(OR(J445="",J445=0),"",N445/J445)</f>
        <v/>
      </c>
    </row>
    <row r="446">
      <c r="B446" s="2">
        <f>IF(A446="","",IFERROR(INDEX('판매채널'!$B$2:$B$501,MATCH(A446,'판매채널'!$A$2:$A$501,0)),""))</f>
        <v/>
      </c>
      <c r="D446" s="2">
        <f>IF(C446="","",IFERROR(INDEX('판매구성'!$B$2:$B$501,MATCH(C446,'판매구성'!$A$2:$A$501,0)),""))</f>
        <v/>
      </c>
      <c r="G446" s="3" t="n"/>
      <c r="I446" s="2">
        <f>IF(C446="","",IFERROR(INDEX('판매구성'!$C$2:$C$501,MATCH(C446,'판매구성'!$A$2:$A$501,0)),""))</f>
        <v/>
      </c>
      <c r="J446" s="4">
        <f>IF(OR(C446="",E446=""),"",IFERROR(IF(INDEX('가격표'!$D$2:$K$501,MATCH(C446,'가격표'!$A$2:$A$501,0),MATCH(E446,'가격표'!$D$1:$K$1,0))="","",INDEX('가격표'!$D$2:$K$501,MATCH(C446,'가격표'!$A$2:$A$501,0),MATCH(E446,'가격표'!$D$1:$K$1,0))),""))</f>
        <v/>
      </c>
      <c r="K446" s="4">
        <f>IF(C446="","",IFERROR(INDEX('판매구성'!$D$2:$D$501,MATCH(C446,'판매구성'!$A$2:$A$501,0)),""))</f>
        <v/>
      </c>
      <c r="L446" s="4">
        <f>IF(OR(J446="",K446=""),"",ROUND(J446-(J446-K446)*'설정'!$B$2,0))</f>
        <v/>
      </c>
      <c r="M446" s="4">
        <f>IF(OR(A446="",J446=""),"",ROUND(J446*N(IFERROR(INDEX('판매채널'!$F$2:$F$501,MATCH(A446,'판매채널'!$A$2:$A$501,0)),"")),0))</f>
        <v/>
      </c>
      <c r="N446" s="4">
        <f>IF(OR(J446="",K446=""),"",J446-M446-K446)</f>
        <v/>
      </c>
      <c r="O446" s="5">
        <f>IF(OR(J446="",J446=0),"",N446/J446)</f>
        <v/>
      </c>
    </row>
    <row r="447">
      <c r="B447" s="2">
        <f>IF(A447="","",IFERROR(INDEX('판매채널'!$B$2:$B$501,MATCH(A447,'판매채널'!$A$2:$A$501,0)),""))</f>
        <v/>
      </c>
      <c r="D447" s="2">
        <f>IF(C447="","",IFERROR(INDEX('판매구성'!$B$2:$B$501,MATCH(C447,'판매구성'!$A$2:$A$501,0)),""))</f>
        <v/>
      </c>
      <c r="G447" s="3" t="n"/>
      <c r="I447" s="2">
        <f>IF(C447="","",IFERROR(INDEX('판매구성'!$C$2:$C$501,MATCH(C447,'판매구성'!$A$2:$A$501,0)),""))</f>
        <v/>
      </c>
      <c r="J447" s="4">
        <f>IF(OR(C447="",E447=""),"",IFERROR(IF(INDEX('가격표'!$D$2:$K$501,MATCH(C447,'가격표'!$A$2:$A$501,0),MATCH(E447,'가격표'!$D$1:$K$1,0))="","",INDEX('가격표'!$D$2:$K$501,MATCH(C447,'가격표'!$A$2:$A$501,0),MATCH(E447,'가격표'!$D$1:$K$1,0))),""))</f>
        <v/>
      </c>
      <c r="K447" s="4">
        <f>IF(C447="","",IFERROR(INDEX('판매구성'!$D$2:$D$501,MATCH(C447,'판매구성'!$A$2:$A$501,0)),""))</f>
        <v/>
      </c>
      <c r="L447" s="4">
        <f>IF(OR(J447="",K447=""),"",ROUND(J447-(J447-K447)*'설정'!$B$2,0))</f>
        <v/>
      </c>
      <c r="M447" s="4">
        <f>IF(OR(A447="",J447=""),"",ROUND(J447*N(IFERROR(INDEX('판매채널'!$F$2:$F$501,MATCH(A447,'판매채널'!$A$2:$A$501,0)),"")),0))</f>
        <v/>
      </c>
      <c r="N447" s="4">
        <f>IF(OR(J447="",K447=""),"",J447-M447-K447)</f>
        <v/>
      </c>
      <c r="O447" s="5">
        <f>IF(OR(J447="",J447=0),"",N447/J447)</f>
        <v/>
      </c>
    </row>
    <row r="448">
      <c r="B448" s="2">
        <f>IF(A448="","",IFERROR(INDEX('판매채널'!$B$2:$B$501,MATCH(A448,'판매채널'!$A$2:$A$501,0)),""))</f>
        <v/>
      </c>
      <c r="D448" s="2">
        <f>IF(C448="","",IFERROR(INDEX('판매구성'!$B$2:$B$501,MATCH(C448,'판매구성'!$A$2:$A$501,0)),""))</f>
        <v/>
      </c>
      <c r="G448" s="3" t="n"/>
      <c r="I448" s="2">
        <f>IF(C448="","",IFERROR(INDEX('판매구성'!$C$2:$C$501,MATCH(C448,'판매구성'!$A$2:$A$501,0)),""))</f>
        <v/>
      </c>
      <c r="J448" s="4">
        <f>IF(OR(C448="",E448=""),"",IFERROR(IF(INDEX('가격표'!$D$2:$K$501,MATCH(C448,'가격표'!$A$2:$A$501,0),MATCH(E448,'가격표'!$D$1:$K$1,0))="","",INDEX('가격표'!$D$2:$K$501,MATCH(C448,'가격표'!$A$2:$A$501,0),MATCH(E448,'가격표'!$D$1:$K$1,0))),""))</f>
        <v/>
      </c>
      <c r="K448" s="4">
        <f>IF(C448="","",IFERROR(INDEX('판매구성'!$D$2:$D$501,MATCH(C448,'판매구성'!$A$2:$A$501,0)),""))</f>
        <v/>
      </c>
      <c r="L448" s="4">
        <f>IF(OR(J448="",K448=""),"",ROUND(J448-(J448-K448)*'설정'!$B$2,0))</f>
        <v/>
      </c>
      <c r="M448" s="4">
        <f>IF(OR(A448="",J448=""),"",ROUND(J448*N(IFERROR(INDEX('판매채널'!$F$2:$F$501,MATCH(A448,'판매채널'!$A$2:$A$501,0)),"")),0))</f>
        <v/>
      </c>
      <c r="N448" s="4">
        <f>IF(OR(J448="",K448=""),"",J448-M448-K448)</f>
        <v/>
      </c>
      <c r="O448" s="5">
        <f>IF(OR(J448="",J448=0),"",N448/J448)</f>
        <v/>
      </c>
    </row>
    <row r="449">
      <c r="B449" s="2">
        <f>IF(A449="","",IFERROR(INDEX('판매채널'!$B$2:$B$501,MATCH(A449,'판매채널'!$A$2:$A$501,0)),""))</f>
        <v/>
      </c>
      <c r="D449" s="2">
        <f>IF(C449="","",IFERROR(INDEX('판매구성'!$B$2:$B$501,MATCH(C449,'판매구성'!$A$2:$A$501,0)),""))</f>
        <v/>
      </c>
      <c r="G449" s="3" t="n"/>
      <c r="I449" s="2">
        <f>IF(C449="","",IFERROR(INDEX('판매구성'!$C$2:$C$501,MATCH(C449,'판매구성'!$A$2:$A$501,0)),""))</f>
        <v/>
      </c>
      <c r="J449" s="4">
        <f>IF(OR(C449="",E449=""),"",IFERROR(IF(INDEX('가격표'!$D$2:$K$501,MATCH(C449,'가격표'!$A$2:$A$501,0),MATCH(E449,'가격표'!$D$1:$K$1,0))="","",INDEX('가격표'!$D$2:$K$501,MATCH(C449,'가격표'!$A$2:$A$501,0),MATCH(E449,'가격표'!$D$1:$K$1,0))),""))</f>
        <v/>
      </c>
      <c r="K449" s="4">
        <f>IF(C449="","",IFERROR(INDEX('판매구성'!$D$2:$D$501,MATCH(C449,'판매구성'!$A$2:$A$501,0)),""))</f>
        <v/>
      </c>
      <c r="L449" s="4">
        <f>IF(OR(J449="",K449=""),"",ROUND(J449-(J449-K449)*'설정'!$B$2,0))</f>
        <v/>
      </c>
      <c r="M449" s="4">
        <f>IF(OR(A449="",J449=""),"",ROUND(J449*N(IFERROR(INDEX('판매채널'!$F$2:$F$501,MATCH(A449,'판매채널'!$A$2:$A$501,0)),"")),0))</f>
        <v/>
      </c>
      <c r="N449" s="4">
        <f>IF(OR(J449="",K449=""),"",J449-M449-K449)</f>
        <v/>
      </c>
      <c r="O449" s="5">
        <f>IF(OR(J449="",J449=0),"",N449/J449)</f>
        <v/>
      </c>
    </row>
    <row r="450">
      <c r="B450" s="2">
        <f>IF(A450="","",IFERROR(INDEX('판매채널'!$B$2:$B$501,MATCH(A450,'판매채널'!$A$2:$A$501,0)),""))</f>
        <v/>
      </c>
      <c r="D450" s="2">
        <f>IF(C450="","",IFERROR(INDEX('판매구성'!$B$2:$B$501,MATCH(C450,'판매구성'!$A$2:$A$501,0)),""))</f>
        <v/>
      </c>
      <c r="G450" s="3" t="n"/>
      <c r="I450" s="2">
        <f>IF(C450="","",IFERROR(INDEX('판매구성'!$C$2:$C$501,MATCH(C450,'판매구성'!$A$2:$A$501,0)),""))</f>
        <v/>
      </c>
      <c r="J450" s="4">
        <f>IF(OR(C450="",E450=""),"",IFERROR(IF(INDEX('가격표'!$D$2:$K$501,MATCH(C450,'가격표'!$A$2:$A$501,0),MATCH(E450,'가격표'!$D$1:$K$1,0))="","",INDEX('가격표'!$D$2:$K$501,MATCH(C450,'가격표'!$A$2:$A$501,0),MATCH(E450,'가격표'!$D$1:$K$1,0))),""))</f>
        <v/>
      </c>
      <c r="K450" s="4">
        <f>IF(C450="","",IFERROR(INDEX('판매구성'!$D$2:$D$501,MATCH(C450,'판매구성'!$A$2:$A$501,0)),""))</f>
        <v/>
      </c>
      <c r="L450" s="4">
        <f>IF(OR(J450="",K450=""),"",ROUND(J450-(J450-K450)*'설정'!$B$2,0))</f>
        <v/>
      </c>
      <c r="M450" s="4">
        <f>IF(OR(A450="",J450=""),"",ROUND(J450*N(IFERROR(INDEX('판매채널'!$F$2:$F$501,MATCH(A450,'판매채널'!$A$2:$A$501,0)),"")),0))</f>
        <v/>
      </c>
      <c r="N450" s="4">
        <f>IF(OR(J450="",K450=""),"",J450-M450-K450)</f>
        <v/>
      </c>
      <c r="O450" s="5">
        <f>IF(OR(J450="",J450=0),"",N450/J450)</f>
        <v/>
      </c>
    </row>
    <row r="451">
      <c r="B451" s="2">
        <f>IF(A451="","",IFERROR(INDEX('판매채널'!$B$2:$B$501,MATCH(A451,'판매채널'!$A$2:$A$501,0)),""))</f>
        <v/>
      </c>
      <c r="D451" s="2">
        <f>IF(C451="","",IFERROR(INDEX('판매구성'!$B$2:$B$501,MATCH(C451,'판매구성'!$A$2:$A$501,0)),""))</f>
        <v/>
      </c>
      <c r="G451" s="3" t="n"/>
      <c r="I451" s="2">
        <f>IF(C451="","",IFERROR(INDEX('판매구성'!$C$2:$C$501,MATCH(C451,'판매구성'!$A$2:$A$501,0)),""))</f>
        <v/>
      </c>
      <c r="J451" s="4">
        <f>IF(OR(C451="",E451=""),"",IFERROR(IF(INDEX('가격표'!$D$2:$K$501,MATCH(C451,'가격표'!$A$2:$A$501,0),MATCH(E451,'가격표'!$D$1:$K$1,0))="","",INDEX('가격표'!$D$2:$K$501,MATCH(C451,'가격표'!$A$2:$A$501,0),MATCH(E451,'가격표'!$D$1:$K$1,0))),""))</f>
        <v/>
      </c>
      <c r="K451" s="4">
        <f>IF(C451="","",IFERROR(INDEX('판매구성'!$D$2:$D$501,MATCH(C451,'판매구성'!$A$2:$A$501,0)),""))</f>
        <v/>
      </c>
      <c r="L451" s="4">
        <f>IF(OR(J451="",K451=""),"",ROUND(J451-(J451-K451)*'설정'!$B$2,0))</f>
        <v/>
      </c>
      <c r="M451" s="4">
        <f>IF(OR(A451="",J451=""),"",ROUND(J451*N(IFERROR(INDEX('판매채널'!$F$2:$F$501,MATCH(A451,'판매채널'!$A$2:$A$501,0)),"")),0))</f>
        <v/>
      </c>
      <c r="N451" s="4">
        <f>IF(OR(J451="",K451=""),"",J451-M451-K451)</f>
        <v/>
      </c>
      <c r="O451" s="5">
        <f>IF(OR(J451="",J451=0),"",N451/J451)</f>
        <v/>
      </c>
    </row>
    <row r="452">
      <c r="B452" s="2">
        <f>IF(A452="","",IFERROR(INDEX('판매채널'!$B$2:$B$501,MATCH(A452,'판매채널'!$A$2:$A$501,0)),""))</f>
        <v/>
      </c>
      <c r="D452" s="2">
        <f>IF(C452="","",IFERROR(INDEX('판매구성'!$B$2:$B$501,MATCH(C452,'판매구성'!$A$2:$A$501,0)),""))</f>
        <v/>
      </c>
      <c r="G452" s="3" t="n"/>
      <c r="I452" s="2">
        <f>IF(C452="","",IFERROR(INDEX('판매구성'!$C$2:$C$501,MATCH(C452,'판매구성'!$A$2:$A$501,0)),""))</f>
        <v/>
      </c>
      <c r="J452" s="4">
        <f>IF(OR(C452="",E452=""),"",IFERROR(IF(INDEX('가격표'!$D$2:$K$501,MATCH(C452,'가격표'!$A$2:$A$501,0),MATCH(E452,'가격표'!$D$1:$K$1,0))="","",INDEX('가격표'!$D$2:$K$501,MATCH(C452,'가격표'!$A$2:$A$501,0),MATCH(E452,'가격표'!$D$1:$K$1,0))),""))</f>
        <v/>
      </c>
      <c r="K452" s="4">
        <f>IF(C452="","",IFERROR(INDEX('판매구성'!$D$2:$D$501,MATCH(C452,'판매구성'!$A$2:$A$501,0)),""))</f>
        <v/>
      </c>
      <c r="L452" s="4">
        <f>IF(OR(J452="",K452=""),"",ROUND(J452-(J452-K452)*'설정'!$B$2,0))</f>
        <v/>
      </c>
      <c r="M452" s="4">
        <f>IF(OR(A452="",J452=""),"",ROUND(J452*N(IFERROR(INDEX('판매채널'!$F$2:$F$501,MATCH(A452,'판매채널'!$A$2:$A$501,0)),"")),0))</f>
        <v/>
      </c>
      <c r="N452" s="4">
        <f>IF(OR(J452="",K452=""),"",J452-M452-K452)</f>
        <v/>
      </c>
      <c r="O452" s="5">
        <f>IF(OR(J452="",J452=0),"",N452/J452)</f>
        <v/>
      </c>
    </row>
    <row r="453">
      <c r="B453" s="2">
        <f>IF(A453="","",IFERROR(INDEX('판매채널'!$B$2:$B$501,MATCH(A453,'판매채널'!$A$2:$A$501,0)),""))</f>
        <v/>
      </c>
      <c r="D453" s="2">
        <f>IF(C453="","",IFERROR(INDEX('판매구성'!$B$2:$B$501,MATCH(C453,'판매구성'!$A$2:$A$501,0)),""))</f>
        <v/>
      </c>
      <c r="G453" s="3" t="n"/>
      <c r="I453" s="2">
        <f>IF(C453="","",IFERROR(INDEX('판매구성'!$C$2:$C$501,MATCH(C453,'판매구성'!$A$2:$A$501,0)),""))</f>
        <v/>
      </c>
      <c r="J453" s="4">
        <f>IF(OR(C453="",E453=""),"",IFERROR(IF(INDEX('가격표'!$D$2:$K$501,MATCH(C453,'가격표'!$A$2:$A$501,0),MATCH(E453,'가격표'!$D$1:$K$1,0))="","",INDEX('가격표'!$D$2:$K$501,MATCH(C453,'가격표'!$A$2:$A$501,0),MATCH(E453,'가격표'!$D$1:$K$1,0))),""))</f>
        <v/>
      </c>
      <c r="K453" s="4">
        <f>IF(C453="","",IFERROR(INDEX('판매구성'!$D$2:$D$501,MATCH(C453,'판매구성'!$A$2:$A$501,0)),""))</f>
        <v/>
      </c>
      <c r="L453" s="4">
        <f>IF(OR(J453="",K453=""),"",ROUND(J453-(J453-K453)*'설정'!$B$2,0))</f>
        <v/>
      </c>
      <c r="M453" s="4">
        <f>IF(OR(A453="",J453=""),"",ROUND(J453*N(IFERROR(INDEX('판매채널'!$F$2:$F$501,MATCH(A453,'판매채널'!$A$2:$A$501,0)),"")),0))</f>
        <v/>
      </c>
      <c r="N453" s="4">
        <f>IF(OR(J453="",K453=""),"",J453-M453-K453)</f>
        <v/>
      </c>
      <c r="O453" s="5">
        <f>IF(OR(J453="",J453=0),"",N453/J453)</f>
        <v/>
      </c>
    </row>
    <row r="454">
      <c r="B454" s="2">
        <f>IF(A454="","",IFERROR(INDEX('판매채널'!$B$2:$B$501,MATCH(A454,'판매채널'!$A$2:$A$501,0)),""))</f>
        <v/>
      </c>
      <c r="D454" s="2">
        <f>IF(C454="","",IFERROR(INDEX('판매구성'!$B$2:$B$501,MATCH(C454,'판매구성'!$A$2:$A$501,0)),""))</f>
        <v/>
      </c>
      <c r="G454" s="3" t="n"/>
      <c r="I454" s="2">
        <f>IF(C454="","",IFERROR(INDEX('판매구성'!$C$2:$C$501,MATCH(C454,'판매구성'!$A$2:$A$501,0)),""))</f>
        <v/>
      </c>
      <c r="J454" s="4">
        <f>IF(OR(C454="",E454=""),"",IFERROR(IF(INDEX('가격표'!$D$2:$K$501,MATCH(C454,'가격표'!$A$2:$A$501,0),MATCH(E454,'가격표'!$D$1:$K$1,0))="","",INDEX('가격표'!$D$2:$K$501,MATCH(C454,'가격표'!$A$2:$A$501,0),MATCH(E454,'가격표'!$D$1:$K$1,0))),""))</f>
        <v/>
      </c>
      <c r="K454" s="4">
        <f>IF(C454="","",IFERROR(INDEX('판매구성'!$D$2:$D$501,MATCH(C454,'판매구성'!$A$2:$A$501,0)),""))</f>
        <v/>
      </c>
      <c r="L454" s="4">
        <f>IF(OR(J454="",K454=""),"",ROUND(J454-(J454-K454)*'설정'!$B$2,0))</f>
        <v/>
      </c>
      <c r="M454" s="4">
        <f>IF(OR(A454="",J454=""),"",ROUND(J454*N(IFERROR(INDEX('판매채널'!$F$2:$F$501,MATCH(A454,'판매채널'!$A$2:$A$501,0)),"")),0))</f>
        <v/>
      </c>
      <c r="N454" s="4">
        <f>IF(OR(J454="",K454=""),"",J454-M454-K454)</f>
        <v/>
      </c>
      <c r="O454" s="5">
        <f>IF(OR(J454="",J454=0),"",N454/J454)</f>
        <v/>
      </c>
    </row>
    <row r="455">
      <c r="B455" s="2">
        <f>IF(A455="","",IFERROR(INDEX('판매채널'!$B$2:$B$501,MATCH(A455,'판매채널'!$A$2:$A$501,0)),""))</f>
        <v/>
      </c>
      <c r="D455" s="2">
        <f>IF(C455="","",IFERROR(INDEX('판매구성'!$B$2:$B$501,MATCH(C455,'판매구성'!$A$2:$A$501,0)),""))</f>
        <v/>
      </c>
      <c r="G455" s="3" t="n"/>
      <c r="I455" s="2">
        <f>IF(C455="","",IFERROR(INDEX('판매구성'!$C$2:$C$501,MATCH(C455,'판매구성'!$A$2:$A$501,0)),""))</f>
        <v/>
      </c>
      <c r="J455" s="4">
        <f>IF(OR(C455="",E455=""),"",IFERROR(IF(INDEX('가격표'!$D$2:$K$501,MATCH(C455,'가격표'!$A$2:$A$501,0),MATCH(E455,'가격표'!$D$1:$K$1,0))="","",INDEX('가격표'!$D$2:$K$501,MATCH(C455,'가격표'!$A$2:$A$501,0),MATCH(E455,'가격표'!$D$1:$K$1,0))),""))</f>
        <v/>
      </c>
      <c r="K455" s="4">
        <f>IF(C455="","",IFERROR(INDEX('판매구성'!$D$2:$D$501,MATCH(C455,'판매구성'!$A$2:$A$501,0)),""))</f>
        <v/>
      </c>
      <c r="L455" s="4">
        <f>IF(OR(J455="",K455=""),"",ROUND(J455-(J455-K455)*'설정'!$B$2,0))</f>
        <v/>
      </c>
      <c r="M455" s="4">
        <f>IF(OR(A455="",J455=""),"",ROUND(J455*N(IFERROR(INDEX('판매채널'!$F$2:$F$501,MATCH(A455,'판매채널'!$A$2:$A$501,0)),"")),0))</f>
        <v/>
      </c>
      <c r="N455" s="4">
        <f>IF(OR(J455="",K455=""),"",J455-M455-K455)</f>
        <v/>
      </c>
      <c r="O455" s="5">
        <f>IF(OR(J455="",J455=0),"",N455/J455)</f>
        <v/>
      </c>
    </row>
    <row r="456">
      <c r="B456" s="2">
        <f>IF(A456="","",IFERROR(INDEX('판매채널'!$B$2:$B$501,MATCH(A456,'판매채널'!$A$2:$A$501,0)),""))</f>
        <v/>
      </c>
      <c r="D456" s="2">
        <f>IF(C456="","",IFERROR(INDEX('판매구성'!$B$2:$B$501,MATCH(C456,'판매구성'!$A$2:$A$501,0)),""))</f>
        <v/>
      </c>
      <c r="G456" s="3" t="n"/>
      <c r="I456" s="2">
        <f>IF(C456="","",IFERROR(INDEX('판매구성'!$C$2:$C$501,MATCH(C456,'판매구성'!$A$2:$A$501,0)),""))</f>
        <v/>
      </c>
      <c r="J456" s="4">
        <f>IF(OR(C456="",E456=""),"",IFERROR(IF(INDEX('가격표'!$D$2:$K$501,MATCH(C456,'가격표'!$A$2:$A$501,0),MATCH(E456,'가격표'!$D$1:$K$1,0))="","",INDEX('가격표'!$D$2:$K$501,MATCH(C456,'가격표'!$A$2:$A$501,0),MATCH(E456,'가격표'!$D$1:$K$1,0))),""))</f>
        <v/>
      </c>
      <c r="K456" s="4">
        <f>IF(C456="","",IFERROR(INDEX('판매구성'!$D$2:$D$501,MATCH(C456,'판매구성'!$A$2:$A$501,0)),""))</f>
        <v/>
      </c>
      <c r="L456" s="4">
        <f>IF(OR(J456="",K456=""),"",ROUND(J456-(J456-K456)*'설정'!$B$2,0))</f>
        <v/>
      </c>
      <c r="M456" s="4">
        <f>IF(OR(A456="",J456=""),"",ROUND(J456*N(IFERROR(INDEX('판매채널'!$F$2:$F$501,MATCH(A456,'판매채널'!$A$2:$A$501,0)),"")),0))</f>
        <v/>
      </c>
      <c r="N456" s="4">
        <f>IF(OR(J456="",K456=""),"",J456-M456-K456)</f>
        <v/>
      </c>
      <c r="O456" s="5">
        <f>IF(OR(J456="",J456=0),"",N456/J456)</f>
        <v/>
      </c>
    </row>
    <row r="457">
      <c r="B457" s="2">
        <f>IF(A457="","",IFERROR(INDEX('판매채널'!$B$2:$B$501,MATCH(A457,'판매채널'!$A$2:$A$501,0)),""))</f>
        <v/>
      </c>
      <c r="D457" s="2">
        <f>IF(C457="","",IFERROR(INDEX('판매구성'!$B$2:$B$501,MATCH(C457,'판매구성'!$A$2:$A$501,0)),""))</f>
        <v/>
      </c>
      <c r="G457" s="3" t="n"/>
      <c r="I457" s="2">
        <f>IF(C457="","",IFERROR(INDEX('판매구성'!$C$2:$C$501,MATCH(C457,'판매구성'!$A$2:$A$501,0)),""))</f>
        <v/>
      </c>
      <c r="J457" s="4">
        <f>IF(OR(C457="",E457=""),"",IFERROR(IF(INDEX('가격표'!$D$2:$K$501,MATCH(C457,'가격표'!$A$2:$A$501,0),MATCH(E457,'가격표'!$D$1:$K$1,0))="","",INDEX('가격표'!$D$2:$K$501,MATCH(C457,'가격표'!$A$2:$A$501,0),MATCH(E457,'가격표'!$D$1:$K$1,0))),""))</f>
        <v/>
      </c>
      <c r="K457" s="4">
        <f>IF(C457="","",IFERROR(INDEX('판매구성'!$D$2:$D$501,MATCH(C457,'판매구성'!$A$2:$A$501,0)),""))</f>
        <v/>
      </c>
      <c r="L457" s="4">
        <f>IF(OR(J457="",K457=""),"",ROUND(J457-(J457-K457)*'설정'!$B$2,0))</f>
        <v/>
      </c>
      <c r="M457" s="4">
        <f>IF(OR(A457="",J457=""),"",ROUND(J457*N(IFERROR(INDEX('판매채널'!$F$2:$F$501,MATCH(A457,'판매채널'!$A$2:$A$501,0)),"")),0))</f>
        <v/>
      </c>
      <c r="N457" s="4">
        <f>IF(OR(J457="",K457=""),"",J457-M457-K457)</f>
        <v/>
      </c>
      <c r="O457" s="5">
        <f>IF(OR(J457="",J457=0),"",N457/J457)</f>
        <v/>
      </c>
    </row>
    <row r="458">
      <c r="B458" s="2">
        <f>IF(A458="","",IFERROR(INDEX('판매채널'!$B$2:$B$501,MATCH(A458,'판매채널'!$A$2:$A$501,0)),""))</f>
        <v/>
      </c>
      <c r="D458" s="2">
        <f>IF(C458="","",IFERROR(INDEX('판매구성'!$B$2:$B$501,MATCH(C458,'판매구성'!$A$2:$A$501,0)),""))</f>
        <v/>
      </c>
      <c r="G458" s="3" t="n"/>
      <c r="I458" s="2">
        <f>IF(C458="","",IFERROR(INDEX('판매구성'!$C$2:$C$501,MATCH(C458,'판매구성'!$A$2:$A$501,0)),""))</f>
        <v/>
      </c>
      <c r="J458" s="4">
        <f>IF(OR(C458="",E458=""),"",IFERROR(IF(INDEX('가격표'!$D$2:$K$501,MATCH(C458,'가격표'!$A$2:$A$501,0),MATCH(E458,'가격표'!$D$1:$K$1,0))="","",INDEX('가격표'!$D$2:$K$501,MATCH(C458,'가격표'!$A$2:$A$501,0),MATCH(E458,'가격표'!$D$1:$K$1,0))),""))</f>
        <v/>
      </c>
      <c r="K458" s="4">
        <f>IF(C458="","",IFERROR(INDEX('판매구성'!$D$2:$D$501,MATCH(C458,'판매구성'!$A$2:$A$501,0)),""))</f>
        <v/>
      </c>
      <c r="L458" s="4">
        <f>IF(OR(J458="",K458=""),"",ROUND(J458-(J458-K458)*'설정'!$B$2,0))</f>
        <v/>
      </c>
      <c r="M458" s="4">
        <f>IF(OR(A458="",J458=""),"",ROUND(J458*N(IFERROR(INDEX('판매채널'!$F$2:$F$501,MATCH(A458,'판매채널'!$A$2:$A$501,0)),"")),0))</f>
        <v/>
      </c>
      <c r="N458" s="4">
        <f>IF(OR(J458="",K458=""),"",J458-M458-K458)</f>
        <v/>
      </c>
      <c r="O458" s="5">
        <f>IF(OR(J458="",J458=0),"",N458/J458)</f>
        <v/>
      </c>
    </row>
    <row r="459">
      <c r="B459" s="2">
        <f>IF(A459="","",IFERROR(INDEX('판매채널'!$B$2:$B$501,MATCH(A459,'판매채널'!$A$2:$A$501,0)),""))</f>
        <v/>
      </c>
      <c r="D459" s="2">
        <f>IF(C459="","",IFERROR(INDEX('판매구성'!$B$2:$B$501,MATCH(C459,'판매구성'!$A$2:$A$501,0)),""))</f>
        <v/>
      </c>
      <c r="G459" s="3" t="n"/>
      <c r="I459" s="2">
        <f>IF(C459="","",IFERROR(INDEX('판매구성'!$C$2:$C$501,MATCH(C459,'판매구성'!$A$2:$A$501,0)),""))</f>
        <v/>
      </c>
      <c r="J459" s="4">
        <f>IF(OR(C459="",E459=""),"",IFERROR(IF(INDEX('가격표'!$D$2:$K$501,MATCH(C459,'가격표'!$A$2:$A$501,0),MATCH(E459,'가격표'!$D$1:$K$1,0))="","",INDEX('가격표'!$D$2:$K$501,MATCH(C459,'가격표'!$A$2:$A$501,0),MATCH(E459,'가격표'!$D$1:$K$1,0))),""))</f>
        <v/>
      </c>
      <c r="K459" s="4">
        <f>IF(C459="","",IFERROR(INDEX('판매구성'!$D$2:$D$501,MATCH(C459,'판매구성'!$A$2:$A$501,0)),""))</f>
        <v/>
      </c>
      <c r="L459" s="4">
        <f>IF(OR(J459="",K459=""),"",ROUND(J459-(J459-K459)*'설정'!$B$2,0))</f>
        <v/>
      </c>
      <c r="M459" s="4">
        <f>IF(OR(A459="",J459=""),"",ROUND(J459*N(IFERROR(INDEX('판매채널'!$F$2:$F$501,MATCH(A459,'판매채널'!$A$2:$A$501,0)),"")),0))</f>
        <v/>
      </c>
      <c r="N459" s="4">
        <f>IF(OR(J459="",K459=""),"",J459-M459-K459)</f>
        <v/>
      </c>
      <c r="O459" s="5">
        <f>IF(OR(J459="",J459=0),"",N459/J459)</f>
        <v/>
      </c>
    </row>
    <row r="460">
      <c r="B460" s="2">
        <f>IF(A460="","",IFERROR(INDEX('판매채널'!$B$2:$B$501,MATCH(A460,'판매채널'!$A$2:$A$501,0)),""))</f>
        <v/>
      </c>
      <c r="D460" s="2">
        <f>IF(C460="","",IFERROR(INDEX('판매구성'!$B$2:$B$501,MATCH(C460,'판매구성'!$A$2:$A$501,0)),""))</f>
        <v/>
      </c>
      <c r="G460" s="3" t="n"/>
      <c r="I460" s="2">
        <f>IF(C460="","",IFERROR(INDEX('판매구성'!$C$2:$C$501,MATCH(C460,'판매구성'!$A$2:$A$501,0)),""))</f>
        <v/>
      </c>
      <c r="J460" s="4">
        <f>IF(OR(C460="",E460=""),"",IFERROR(IF(INDEX('가격표'!$D$2:$K$501,MATCH(C460,'가격표'!$A$2:$A$501,0),MATCH(E460,'가격표'!$D$1:$K$1,0))="","",INDEX('가격표'!$D$2:$K$501,MATCH(C460,'가격표'!$A$2:$A$501,0),MATCH(E460,'가격표'!$D$1:$K$1,0))),""))</f>
        <v/>
      </c>
      <c r="K460" s="4">
        <f>IF(C460="","",IFERROR(INDEX('판매구성'!$D$2:$D$501,MATCH(C460,'판매구성'!$A$2:$A$501,0)),""))</f>
        <v/>
      </c>
      <c r="L460" s="4">
        <f>IF(OR(J460="",K460=""),"",ROUND(J460-(J460-K460)*'설정'!$B$2,0))</f>
        <v/>
      </c>
      <c r="M460" s="4">
        <f>IF(OR(A460="",J460=""),"",ROUND(J460*N(IFERROR(INDEX('판매채널'!$F$2:$F$501,MATCH(A460,'판매채널'!$A$2:$A$501,0)),"")),0))</f>
        <v/>
      </c>
      <c r="N460" s="4">
        <f>IF(OR(J460="",K460=""),"",J460-M460-K460)</f>
        <v/>
      </c>
      <c r="O460" s="5">
        <f>IF(OR(J460="",J460=0),"",N460/J460)</f>
        <v/>
      </c>
    </row>
    <row r="461">
      <c r="B461" s="2">
        <f>IF(A461="","",IFERROR(INDEX('판매채널'!$B$2:$B$501,MATCH(A461,'판매채널'!$A$2:$A$501,0)),""))</f>
        <v/>
      </c>
      <c r="D461" s="2">
        <f>IF(C461="","",IFERROR(INDEX('판매구성'!$B$2:$B$501,MATCH(C461,'판매구성'!$A$2:$A$501,0)),""))</f>
        <v/>
      </c>
      <c r="G461" s="3" t="n"/>
      <c r="I461" s="2">
        <f>IF(C461="","",IFERROR(INDEX('판매구성'!$C$2:$C$501,MATCH(C461,'판매구성'!$A$2:$A$501,0)),""))</f>
        <v/>
      </c>
      <c r="J461" s="4">
        <f>IF(OR(C461="",E461=""),"",IFERROR(IF(INDEX('가격표'!$D$2:$K$501,MATCH(C461,'가격표'!$A$2:$A$501,0),MATCH(E461,'가격표'!$D$1:$K$1,0))="","",INDEX('가격표'!$D$2:$K$501,MATCH(C461,'가격표'!$A$2:$A$501,0),MATCH(E461,'가격표'!$D$1:$K$1,0))),""))</f>
        <v/>
      </c>
      <c r="K461" s="4">
        <f>IF(C461="","",IFERROR(INDEX('판매구성'!$D$2:$D$501,MATCH(C461,'판매구성'!$A$2:$A$501,0)),""))</f>
        <v/>
      </c>
      <c r="L461" s="4">
        <f>IF(OR(J461="",K461=""),"",ROUND(J461-(J461-K461)*'설정'!$B$2,0))</f>
        <v/>
      </c>
      <c r="M461" s="4">
        <f>IF(OR(A461="",J461=""),"",ROUND(J461*N(IFERROR(INDEX('판매채널'!$F$2:$F$501,MATCH(A461,'판매채널'!$A$2:$A$501,0)),"")),0))</f>
        <v/>
      </c>
      <c r="N461" s="4">
        <f>IF(OR(J461="",K461=""),"",J461-M461-K461)</f>
        <v/>
      </c>
      <c r="O461" s="5">
        <f>IF(OR(J461="",J461=0),"",N461/J461)</f>
        <v/>
      </c>
    </row>
    <row r="462">
      <c r="B462" s="2">
        <f>IF(A462="","",IFERROR(INDEX('판매채널'!$B$2:$B$501,MATCH(A462,'판매채널'!$A$2:$A$501,0)),""))</f>
        <v/>
      </c>
      <c r="D462" s="2">
        <f>IF(C462="","",IFERROR(INDEX('판매구성'!$B$2:$B$501,MATCH(C462,'판매구성'!$A$2:$A$501,0)),""))</f>
        <v/>
      </c>
      <c r="G462" s="3" t="n"/>
      <c r="I462" s="2">
        <f>IF(C462="","",IFERROR(INDEX('판매구성'!$C$2:$C$501,MATCH(C462,'판매구성'!$A$2:$A$501,0)),""))</f>
        <v/>
      </c>
      <c r="J462" s="4">
        <f>IF(OR(C462="",E462=""),"",IFERROR(IF(INDEX('가격표'!$D$2:$K$501,MATCH(C462,'가격표'!$A$2:$A$501,0),MATCH(E462,'가격표'!$D$1:$K$1,0))="","",INDEX('가격표'!$D$2:$K$501,MATCH(C462,'가격표'!$A$2:$A$501,0),MATCH(E462,'가격표'!$D$1:$K$1,0))),""))</f>
        <v/>
      </c>
      <c r="K462" s="4">
        <f>IF(C462="","",IFERROR(INDEX('판매구성'!$D$2:$D$501,MATCH(C462,'판매구성'!$A$2:$A$501,0)),""))</f>
        <v/>
      </c>
      <c r="L462" s="4">
        <f>IF(OR(J462="",K462=""),"",ROUND(J462-(J462-K462)*'설정'!$B$2,0))</f>
        <v/>
      </c>
      <c r="M462" s="4">
        <f>IF(OR(A462="",J462=""),"",ROUND(J462*N(IFERROR(INDEX('판매채널'!$F$2:$F$501,MATCH(A462,'판매채널'!$A$2:$A$501,0)),"")),0))</f>
        <v/>
      </c>
      <c r="N462" s="4">
        <f>IF(OR(J462="",K462=""),"",J462-M462-K462)</f>
        <v/>
      </c>
      <c r="O462" s="5">
        <f>IF(OR(J462="",J462=0),"",N462/J462)</f>
        <v/>
      </c>
    </row>
    <row r="463">
      <c r="B463" s="2">
        <f>IF(A463="","",IFERROR(INDEX('판매채널'!$B$2:$B$501,MATCH(A463,'판매채널'!$A$2:$A$501,0)),""))</f>
        <v/>
      </c>
      <c r="D463" s="2">
        <f>IF(C463="","",IFERROR(INDEX('판매구성'!$B$2:$B$501,MATCH(C463,'판매구성'!$A$2:$A$501,0)),""))</f>
        <v/>
      </c>
      <c r="G463" s="3" t="n"/>
      <c r="I463" s="2">
        <f>IF(C463="","",IFERROR(INDEX('판매구성'!$C$2:$C$501,MATCH(C463,'판매구성'!$A$2:$A$501,0)),""))</f>
        <v/>
      </c>
      <c r="J463" s="4">
        <f>IF(OR(C463="",E463=""),"",IFERROR(IF(INDEX('가격표'!$D$2:$K$501,MATCH(C463,'가격표'!$A$2:$A$501,0),MATCH(E463,'가격표'!$D$1:$K$1,0))="","",INDEX('가격표'!$D$2:$K$501,MATCH(C463,'가격표'!$A$2:$A$501,0),MATCH(E463,'가격표'!$D$1:$K$1,0))),""))</f>
        <v/>
      </c>
      <c r="K463" s="4">
        <f>IF(C463="","",IFERROR(INDEX('판매구성'!$D$2:$D$501,MATCH(C463,'판매구성'!$A$2:$A$501,0)),""))</f>
        <v/>
      </c>
      <c r="L463" s="4">
        <f>IF(OR(J463="",K463=""),"",ROUND(J463-(J463-K463)*'설정'!$B$2,0))</f>
        <v/>
      </c>
      <c r="M463" s="4">
        <f>IF(OR(A463="",J463=""),"",ROUND(J463*N(IFERROR(INDEX('판매채널'!$F$2:$F$501,MATCH(A463,'판매채널'!$A$2:$A$501,0)),"")),0))</f>
        <v/>
      </c>
      <c r="N463" s="4">
        <f>IF(OR(J463="",K463=""),"",J463-M463-K463)</f>
        <v/>
      </c>
      <c r="O463" s="5">
        <f>IF(OR(J463="",J463=0),"",N463/J463)</f>
        <v/>
      </c>
    </row>
    <row r="464">
      <c r="B464" s="2">
        <f>IF(A464="","",IFERROR(INDEX('판매채널'!$B$2:$B$501,MATCH(A464,'판매채널'!$A$2:$A$501,0)),""))</f>
        <v/>
      </c>
      <c r="D464" s="2">
        <f>IF(C464="","",IFERROR(INDEX('판매구성'!$B$2:$B$501,MATCH(C464,'판매구성'!$A$2:$A$501,0)),""))</f>
        <v/>
      </c>
      <c r="G464" s="3" t="n"/>
      <c r="I464" s="2">
        <f>IF(C464="","",IFERROR(INDEX('판매구성'!$C$2:$C$501,MATCH(C464,'판매구성'!$A$2:$A$501,0)),""))</f>
        <v/>
      </c>
      <c r="J464" s="4">
        <f>IF(OR(C464="",E464=""),"",IFERROR(IF(INDEX('가격표'!$D$2:$K$501,MATCH(C464,'가격표'!$A$2:$A$501,0),MATCH(E464,'가격표'!$D$1:$K$1,0))="","",INDEX('가격표'!$D$2:$K$501,MATCH(C464,'가격표'!$A$2:$A$501,0),MATCH(E464,'가격표'!$D$1:$K$1,0))),""))</f>
        <v/>
      </c>
      <c r="K464" s="4">
        <f>IF(C464="","",IFERROR(INDEX('판매구성'!$D$2:$D$501,MATCH(C464,'판매구성'!$A$2:$A$501,0)),""))</f>
        <v/>
      </c>
      <c r="L464" s="4">
        <f>IF(OR(J464="",K464=""),"",ROUND(J464-(J464-K464)*'설정'!$B$2,0))</f>
        <v/>
      </c>
      <c r="M464" s="4">
        <f>IF(OR(A464="",J464=""),"",ROUND(J464*N(IFERROR(INDEX('판매채널'!$F$2:$F$501,MATCH(A464,'판매채널'!$A$2:$A$501,0)),"")),0))</f>
        <v/>
      </c>
      <c r="N464" s="4">
        <f>IF(OR(J464="",K464=""),"",J464-M464-K464)</f>
        <v/>
      </c>
      <c r="O464" s="5">
        <f>IF(OR(J464="",J464=0),"",N464/J464)</f>
        <v/>
      </c>
    </row>
    <row r="465">
      <c r="B465" s="2">
        <f>IF(A465="","",IFERROR(INDEX('판매채널'!$B$2:$B$501,MATCH(A465,'판매채널'!$A$2:$A$501,0)),""))</f>
        <v/>
      </c>
      <c r="D465" s="2">
        <f>IF(C465="","",IFERROR(INDEX('판매구성'!$B$2:$B$501,MATCH(C465,'판매구성'!$A$2:$A$501,0)),""))</f>
        <v/>
      </c>
      <c r="G465" s="3" t="n"/>
      <c r="I465" s="2">
        <f>IF(C465="","",IFERROR(INDEX('판매구성'!$C$2:$C$501,MATCH(C465,'판매구성'!$A$2:$A$501,0)),""))</f>
        <v/>
      </c>
      <c r="J465" s="4">
        <f>IF(OR(C465="",E465=""),"",IFERROR(IF(INDEX('가격표'!$D$2:$K$501,MATCH(C465,'가격표'!$A$2:$A$501,0),MATCH(E465,'가격표'!$D$1:$K$1,0))="","",INDEX('가격표'!$D$2:$K$501,MATCH(C465,'가격표'!$A$2:$A$501,0),MATCH(E465,'가격표'!$D$1:$K$1,0))),""))</f>
        <v/>
      </c>
      <c r="K465" s="4">
        <f>IF(C465="","",IFERROR(INDEX('판매구성'!$D$2:$D$501,MATCH(C465,'판매구성'!$A$2:$A$501,0)),""))</f>
        <v/>
      </c>
      <c r="L465" s="4">
        <f>IF(OR(J465="",K465=""),"",ROUND(J465-(J465-K465)*'설정'!$B$2,0))</f>
        <v/>
      </c>
      <c r="M465" s="4">
        <f>IF(OR(A465="",J465=""),"",ROUND(J465*N(IFERROR(INDEX('판매채널'!$F$2:$F$501,MATCH(A465,'판매채널'!$A$2:$A$501,0)),"")),0))</f>
        <v/>
      </c>
      <c r="N465" s="4">
        <f>IF(OR(J465="",K465=""),"",J465-M465-K465)</f>
        <v/>
      </c>
      <c r="O465" s="5">
        <f>IF(OR(J465="",J465=0),"",N465/J465)</f>
        <v/>
      </c>
    </row>
    <row r="466">
      <c r="B466" s="2">
        <f>IF(A466="","",IFERROR(INDEX('판매채널'!$B$2:$B$501,MATCH(A466,'판매채널'!$A$2:$A$501,0)),""))</f>
        <v/>
      </c>
      <c r="D466" s="2">
        <f>IF(C466="","",IFERROR(INDEX('판매구성'!$B$2:$B$501,MATCH(C466,'판매구성'!$A$2:$A$501,0)),""))</f>
        <v/>
      </c>
      <c r="G466" s="3" t="n"/>
      <c r="I466" s="2">
        <f>IF(C466="","",IFERROR(INDEX('판매구성'!$C$2:$C$501,MATCH(C466,'판매구성'!$A$2:$A$501,0)),""))</f>
        <v/>
      </c>
      <c r="J466" s="4">
        <f>IF(OR(C466="",E466=""),"",IFERROR(IF(INDEX('가격표'!$D$2:$K$501,MATCH(C466,'가격표'!$A$2:$A$501,0),MATCH(E466,'가격표'!$D$1:$K$1,0))="","",INDEX('가격표'!$D$2:$K$501,MATCH(C466,'가격표'!$A$2:$A$501,0),MATCH(E466,'가격표'!$D$1:$K$1,0))),""))</f>
        <v/>
      </c>
      <c r="K466" s="4">
        <f>IF(C466="","",IFERROR(INDEX('판매구성'!$D$2:$D$501,MATCH(C466,'판매구성'!$A$2:$A$501,0)),""))</f>
        <v/>
      </c>
      <c r="L466" s="4">
        <f>IF(OR(J466="",K466=""),"",ROUND(J466-(J466-K466)*'설정'!$B$2,0))</f>
        <v/>
      </c>
      <c r="M466" s="4">
        <f>IF(OR(A466="",J466=""),"",ROUND(J466*N(IFERROR(INDEX('판매채널'!$F$2:$F$501,MATCH(A466,'판매채널'!$A$2:$A$501,0)),"")),0))</f>
        <v/>
      </c>
      <c r="N466" s="4">
        <f>IF(OR(J466="",K466=""),"",J466-M466-K466)</f>
        <v/>
      </c>
      <c r="O466" s="5">
        <f>IF(OR(J466="",J466=0),"",N466/J466)</f>
        <v/>
      </c>
    </row>
    <row r="467">
      <c r="B467" s="2">
        <f>IF(A467="","",IFERROR(INDEX('판매채널'!$B$2:$B$501,MATCH(A467,'판매채널'!$A$2:$A$501,0)),""))</f>
        <v/>
      </c>
      <c r="D467" s="2">
        <f>IF(C467="","",IFERROR(INDEX('판매구성'!$B$2:$B$501,MATCH(C467,'판매구성'!$A$2:$A$501,0)),""))</f>
        <v/>
      </c>
      <c r="G467" s="3" t="n"/>
      <c r="I467" s="2">
        <f>IF(C467="","",IFERROR(INDEX('판매구성'!$C$2:$C$501,MATCH(C467,'판매구성'!$A$2:$A$501,0)),""))</f>
        <v/>
      </c>
      <c r="J467" s="4">
        <f>IF(OR(C467="",E467=""),"",IFERROR(IF(INDEX('가격표'!$D$2:$K$501,MATCH(C467,'가격표'!$A$2:$A$501,0),MATCH(E467,'가격표'!$D$1:$K$1,0))="","",INDEX('가격표'!$D$2:$K$501,MATCH(C467,'가격표'!$A$2:$A$501,0),MATCH(E467,'가격표'!$D$1:$K$1,0))),""))</f>
        <v/>
      </c>
      <c r="K467" s="4">
        <f>IF(C467="","",IFERROR(INDEX('판매구성'!$D$2:$D$501,MATCH(C467,'판매구성'!$A$2:$A$501,0)),""))</f>
        <v/>
      </c>
      <c r="L467" s="4">
        <f>IF(OR(J467="",K467=""),"",ROUND(J467-(J467-K467)*'설정'!$B$2,0))</f>
        <v/>
      </c>
      <c r="M467" s="4">
        <f>IF(OR(A467="",J467=""),"",ROUND(J467*N(IFERROR(INDEX('판매채널'!$F$2:$F$501,MATCH(A467,'판매채널'!$A$2:$A$501,0)),"")),0))</f>
        <v/>
      </c>
      <c r="N467" s="4">
        <f>IF(OR(J467="",K467=""),"",J467-M467-K467)</f>
        <v/>
      </c>
      <c r="O467" s="5">
        <f>IF(OR(J467="",J467=0),"",N467/J467)</f>
        <v/>
      </c>
    </row>
    <row r="468">
      <c r="B468" s="2">
        <f>IF(A468="","",IFERROR(INDEX('판매채널'!$B$2:$B$501,MATCH(A468,'판매채널'!$A$2:$A$501,0)),""))</f>
        <v/>
      </c>
      <c r="D468" s="2">
        <f>IF(C468="","",IFERROR(INDEX('판매구성'!$B$2:$B$501,MATCH(C468,'판매구성'!$A$2:$A$501,0)),""))</f>
        <v/>
      </c>
      <c r="G468" s="3" t="n"/>
      <c r="I468" s="2">
        <f>IF(C468="","",IFERROR(INDEX('판매구성'!$C$2:$C$501,MATCH(C468,'판매구성'!$A$2:$A$501,0)),""))</f>
        <v/>
      </c>
      <c r="J468" s="4">
        <f>IF(OR(C468="",E468=""),"",IFERROR(IF(INDEX('가격표'!$D$2:$K$501,MATCH(C468,'가격표'!$A$2:$A$501,0),MATCH(E468,'가격표'!$D$1:$K$1,0))="","",INDEX('가격표'!$D$2:$K$501,MATCH(C468,'가격표'!$A$2:$A$501,0),MATCH(E468,'가격표'!$D$1:$K$1,0))),""))</f>
        <v/>
      </c>
      <c r="K468" s="4">
        <f>IF(C468="","",IFERROR(INDEX('판매구성'!$D$2:$D$501,MATCH(C468,'판매구성'!$A$2:$A$501,0)),""))</f>
        <v/>
      </c>
      <c r="L468" s="4">
        <f>IF(OR(J468="",K468=""),"",ROUND(J468-(J468-K468)*'설정'!$B$2,0))</f>
        <v/>
      </c>
      <c r="M468" s="4">
        <f>IF(OR(A468="",J468=""),"",ROUND(J468*N(IFERROR(INDEX('판매채널'!$F$2:$F$501,MATCH(A468,'판매채널'!$A$2:$A$501,0)),"")),0))</f>
        <v/>
      </c>
      <c r="N468" s="4">
        <f>IF(OR(J468="",K468=""),"",J468-M468-K468)</f>
        <v/>
      </c>
      <c r="O468" s="5">
        <f>IF(OR(J468="",J468=0),"",N468/J468)</f>
        <v/>
      </c>
    </row>
    <row r="469">
      <c r="B469" s="2">
        <f>IF(A469="","",IFERROR(INDEX('판매채널'!$B$2:$B$501,MATCH(A469,'판매채널'!$A$2:$A$501,0)),""))</f>
        <v/>
      </c>
      <c r="D469" s="2">
        <f>IF(C469="","",IFERROR(INDEX('판매구성'!$B$2:$B$501,MATCH(C469,'판매구성'!$A$2:$A$501,0)),""))</f>
        <v/>
      </c>
      <c r="G469" s="3" t="n"/>
      <c r="I469" s="2">
        <f>IF(C469="","",IFERROR(INDEX('판매구성'!$C$2:$C$501,MATCH(C469,'판매구성'!$A$2:$A$501,0)),""))</f>
        <v/>
      </c>
      <c r="J469" s="4">
        <f>IF(OR(C469="",E469=""),"",IFERROR(IF(INDEX('가격표'!$D$2:$K$501,MATCH(C469,'가격표'!$A$2:$A$501,0),MATCH(E469,'가격표'!$D$1:$K$1,0))="","",INDEX('가격표'!$D$2:$K$501,MATCH(C469,'가격표'!$A$2:$A$501,0),MATCH(E469,'가격표'!$D$1:$K$1,0))),""))</f>
        <v/>
      </c>
      <c r="K469" s="4">
        <f>IF(C469="","",IFERROR(INDEX('판매구성'!$D$2:$D$501,MATCH(C469,'판매구성'!$A$2:$A$501,0)),""))</f>
        <v/>
      </c>
      <c r="L469" s="4">
        <f>IF(OR(J469="",K469=""),"",ROUND(J469-(J469-K469)*'설정'!$B$2,0))</f>
        <v/>
      </c>
      <c r="M469" s="4">
        <f>IF(OR(A469="",J469=""),"",ROUND(J469*N(IFERROR(INDEX('판매채널'!$F$2:$F$501,MATCH(A469,'판매채널'!$A$2:$A$501,0)),"")),0))</f>
        <v/>
      </c>
      <c r="N469" s="4">
        <f>IF(OR(J469="",K469=""),"",J469-M469-K469)</f>
        <v/>
      </c>
      <c r="O469" s="5">
        <f>IF(OR(J469="",J469=0),"",N469/J469)</f>
        <v/>
      </c>
    </row>
    <row r="470">
      <c r="B470" s="2">
        <f>IF(A470="","",IFERROR(INDEX('판매채널'!$B$2:$B$501,MATCH(A470,'판매채널'!$A$2:$A$501,0)),""))</f>
        <v/>
      </c>
      <c r="D470" s="2">
        <f>IF(C470="","",IFERROR(INDEX('판매구성'!$B$2:$B$501,MATCH(C470,'판매구성'!$A$2:$A$501,0)),""))</f>
        <v/>
      </c>
      <c r="G470" s="3" t="n"/>
      <c r="I470" s="2">
        <f>IF(C470="","",IFERROR(INDEX('판매구성'!$C$2:$C$501,MATCH(C470,'판매구성'!$A$2:$A$501,0)),""))</f>
        <v/>
      </c>
      <c r="J470" s="4">
        <f>IF(OR(C470="",E470=""),"",IFERROR(IF(INDEX('가격표'!$D$2:$K$501,MATCH(C470,'가격표'!$A$2:$A$501,0),MATCH(E470,'가격표'!$D$1:$K$1,0))="","",INDEX('가격표'!$D$2:$K$501,MATCH(C470,'가격표'!$A$2:$A$501,0),MATCH(E470,'가격표'!$D$1:$K$1,0))),""))</f>
        <v/>
      </c>
      <c r="K470" s="4">
        <f>IF(C470="","",IFERROR(INDEX('판매구성'!$D$2:$D$501,MATCH(C470,'판매구성'!$A$2:$A$501,0)),""))</f>
        <v/>
      </c>
      <c r="L470" s="4">
        <f>IF(OR(J470="",K470=""),"",ROUND(J470-(J470-K470)*'설정'!$B$2,0))</f>
        <v/>
      </c>
      <c r="M470" s="4">
        <f>IF(OR(A470="",J470=""),"",ROUND(J470*N(IFERROR(INDEX('판매채널'!$F$2:$F$501,MATCH(A470,'판매채널'!$A$2:$A$501,0)),"")),0))</f>
        <v/>
      </c>
      <c r="N470" s="4">
        <f>IF(OR(J470="",K470=""),"",J470-M470-K470)</f>
        <v/>
      </c>
      <c r="O470" s="5">
        <f>IF(OR(J470="",J470=0),"",N470/J470)</f>
        <v/>
      </c>
    </row>
    <row r="471">
      <c r="B471" s="2">
        <f>IF(A471="","",IFERROR(INDEX('판매채널'!$B$2:$B$501,MATCH(A471,'판매채널'!$A$2:$A$501,0)),""))</f>
        <v/>
      </c>
      <c r="D471" s="2">
        <f>IF(C471="","",IFERROR(INDEX('판매구성'!$B$2:$B$501,MATCH(C471,'판매구성'!$A$2:$A$501,0)),""))</f>
        <v/>
      </c>
      <c r="G471" s="3" t="n"/>
      <c r="I471" s="2">
        <f>IF(C471="","",IFERROR(INDEX('판매구성'!$C$2:$C$501,MATCH(C471,'판매구성'!$A$2:$A$501,0)),""))</f>
        <v/>
      </c>
      <c r="J471" s="4">
        <f>IF(OR(C471="",E471=""),"",IFERROR(IF(INDEX('가격표'!$D$2:$K$501,MATCH(C471,'가격표'!$A$2:$A$501,0),MATCH(E471,'가격표'!$D$1:$K$1,0))="","",INDEX('가격표'!$D$2:$K$501,MATCH(C471,'가격표'!$A$2:$A$501,0),MATCH(E471,'가격표'!$D$1:$K$1,0))),""))</f>
        <v/>
      </c>
      <c r="K471" s="4">
        <f>IF(C471="","",IFERROR(INDEX('판매구성'!$D$2:$D$501,MATCH(C471,'판매구성'!$A$2:$A$501,0)),""))</f>
        <v/>
      </c>
      <c r="L471" s="4">
        <f>IF(OR(J471="",K471=""),"",ROUND(J471-(J471-K471)*'설정'!$B$2,0))</f>
        <v/>
      </c>
      <c r="M471" s="4">
        <f>IF(OR(A471="",J471=""),"",ROUND(J471*N(IFERROR(INDEX('판매채널'!$F$2:$F$501,MATCH(A471,'판매채널'!$A$2:$A$501,0)),"")),0))</f>
        <v/>
      </c>
      <c r="N471" s="4">
        <f>IF(OR(J471="",K471=""),"",J471-M471-K471)</f>
        <v/>
      </c>
      <c r="O471" s="5">
        <f>IF(OR(J471="",J471=0),"",N471/J471)</f>
        <v/>
      </c>
    </row>
    <row r="472">
      <c r="B472" s="2">
        <f>IF(A472="","",IFERROR(INDEX('판매채널'!$B$2:$B$501,MATCH(A472,'판매채널'!$A$2:$A$501,0)),""))</f>
        <v/>
      </c>
      <c r="D472" s="2">
        <f>IF(C472="","",IFERROR(INDEX('판매구성'!$B$2:$B$501,MATCH(C472,'판매구성'!$A$2:$A$501,0)),""))</f>
        <v/>
      </c>
      <c r="G472" s="3" t="n"/>
      <c r="I472" s="2">
        <f>IF(C472="","",IFERROR(INDEX('판매구성'!$C$2:$C$501,MATCH(C472,'판매구성'!$A$2:$A$501,0)),""))</f>
        <v/>
      </c>
      <c r="J472" s="4">
        <f>IF(OR(C472="",E472=""),"",IFERROR(IF(INDEX('가격표'!$D$2:$K$501,MATCH(C472,'가격표'!$A$2:$A$501,0),MATCH(E472,'가격표'!$D$1:$K$1,0))="","",INDEX('가격표'!$D$2:$K$501,MATCH(C472,'가격표'!$A$2:$A$501,0),MATCH(E472,'가격표'!$D$1:$K$1,0))),""))</f>
        <v/>
      </c>
      <c r="K472" s="4">
        <f>IF(C472="","",IFERROR(INDEX('판매구성'!$D$2:$D$501,MATCH(C472,'판매구성'!$A$2:$A$501,0)),""))</f>
        <v/>
      </c>
      <c r="L472" s="4">
        <f>IF(OR(J472="",K472=""),"",ROUND(J472-(J472-K472)*'설정'!$B$2,0))</f>
        <v/>
      </c>
      <c r="M472" s="4">
        <f>IF(OR(A472="",J472=""),"",ROUND(J472*N(IFERROR(INDEX('판매채널'!$F$2:$F$501,MATCH(A472,'판매채널'!$A$2:$A$501,0)),"")),0))</f>
        <v/>
      </c>
      <c r="N472" s="4">
        <f>IF(OR(J472="",K472=""),"",J472-M472-K472)</f>
        <v/>
      </c>
      <c r="O472" s="5">
        <f>IF(OR(J472="",J472=0),"",N472/J472)</f>
        <v/>
      </c>
    </row>
    <row r="473">
      <c r="B473" s="2">
        <f>IF(A473="","",IFERROR(INDEX('판매채널'!$B$2:$B$501,MATCH(A473,'판매채널'!$A$2:$A$501,0)),""))</f>
        <v/>
      </c>
      <c r="D473" s="2">
        <f>IF(C473="","",IFERROR(INDEX('판매구성'!$B$2:$B$501,MATCH(C473,'판매구성'!$A$2:$A$501,0)),""))</f>
        <v/>
      </c>
      <c r="G473" s="3" t="n"/>
      <c r="I473" s="2">
        <f>IF(C473="","",IFERROR(INDEX('판매구성'!$C$2:$C$501,MATCH(C473,'판매구성'!$A$2:$A$501,0)),""))</f>
        <v/>
      </c>
      <c r="J473" s="4">
        <f>IF(OR(C473="",E473=""),"",IFERROR(IF(INDEX('가격표'!$D$2:$K$501,MATCH(C473,'가격표'!$A$2:$A$501,0),MATCH(E473,'가격표'!$D$1:$K$1,0))="","",INDEX('가격표'!$D$2:$K$501,MATCH(C473,'가격표'!$A$2:$A$501,0),MATCH(E473,'가격표'!$D$1:$K$1,0))),""))</f>
        <v/>
      </c>
      <c r="K473" s="4">
        <f>IF(C473="","",IFERROR(INDEX('판매구성'!$D$2:$D$501,MATCH(C473,'판매구성'!$A$2:$A$501,0)),""))</f>
        <v/>
      </c>
      <c r="L473" s="4">
        <f>IF(OR(J473="",K473=""),"",ROUND(J473-(J473-K473)*'설정'!$B$2,0))</f>
        <v/>
      </c>
      <c r="M473" s="4">
        <f>IF(OR(A473="",J473=""),"",ROUND(J473*N(IFERROR(INDEX('판매채널'!$F$2:$F$501,MATCH(A473,'판매채널'!$A$2:$A$501,0)),"")),0))</f>
        <v/>
      </c>
      <c r="N473" s="4">
        <f>IF(OR(J473="",K473=""),"",J473-M473-K473)</f>
        <v/>
      </c>
      <c r="O473" s="5">
        <f>IF(OR(J473="",J473=0),"",N473/J473)</f>
        <v/>
      </c>
    </row>
    <row r="474">
      <c r="B474" s="2">
        <f>IF(A474="","",IFERROR(INDEX('판매채널'!$B$2:$B$501,MATCH(A474,'판매채널'!$A$2:$A$501,0)),""))</f>
        <v/>
      </c>
      <c r="D474" s="2">
        <f>IF(C474="","",IFERROR(INDEX('판매구성'!$B$2:$B$501,MATCH(C474,'판매구성'!$A$2:$A$501,0)),""))</f>
        <v/>
      </c>
      <c r="G474" s="3" t="n"/>
      <c r="I474" s="2">
        <f>IF(C474="","",IFERROR(INDEX('판매구성'!$C$2:$C$501,MATCH(C474,'판매구성'!$A$2:$A$501,0)),""))</f>
        <v/>
      </c>
      <c r="J474" s="4">
        <f>IF(OR(C474="",E474=""),"",IFERROR(IF(INDEX('가격표'!$D$2:$K$501,MATCH(C474,'가격표'!$A$2:$A$501,0),MATCH(E474,'가격표'!$D$1:$K$1,0))="","",INDEX('가격표'!$D$2:$K$501,MATCH(C474,'가격표'!$A$2:$A$501,0),MATCH(E474,'가격표'!$D$1:$K$1,0))),""))</f>
        <v/>
      </c>
      <c r="K474" s="4">
        <f>IF(C474="","",IFERROR(INDEX('판매구성'!$D$2:$D$501,MATCH(C474,'판매구성'!$A$2:$A$501,0)),""))</f>
        <v/>
      </c>
      <c r="L474" s="4">
        <f>IF(OR(J474="",K474=""),"",ROUND(J474-(J474-K474)*'설정'!$B$2,0))</f>
        <v/>
      </c>
      <c r="M474" s="4">
        <f>IF(OR(A474="",J474=""),"",ROUND(J474*N(IFERROR(INDEX('판매채널'!$F$2:$F$501,MATCH(A474,'판매채널'!$A$2:$A$501,0)),"")),0))</f>
        <v/>
      </c>
      <c r="N474" s="4">
        <f>IF(OR(J474="",K474=""),"",J474-M474-K474)</f>
        <v/>
      </c>
      <c r="O474" s="5">
        <f>IF(OR(J474="",J474=0),"",N474/J474)</f>
        <v/>
      </c>
    </row>
    <row r="475">
      <c r="B475" s="2">
        <f>IF(A475="","",IFERROR(INDEX('판매채널'!$B$2:$B$501,MATCH(A475,'판매채널'!$A$2:$A$501,0)),""))</f>
        <v/>
      </c>
      <c r="D475" s="2">
        <f>IF(C475="","",IFERROR(INDEX('판매구성'!$B$2:$B$501,MATCH(C475,'판매구성'!$A$2:$A$501,0)),""))</f>
        <v/>
      </c>
      <c r="G475" s="3" t="n"/>
      <c r="I475" s="2">
        <f>IF(C475="","",IFERROR(INDEX('판매구성'!$C$2:$C$501,MATCH(C475,'판매구성'!$A$2:$A$501,0)),""))</f>
        <v/>
      </c>
      <c r="J475" s="4">
        <f>IF(OR(C475="",E475=""),"",IFERROR(IF(INDEX('가격표'!$D$2:$K$501,MATCH(C475,'가격표'!$A$2:$A$501,0),MATCH(E475,'가격표'!$D$1:$K$1,0))="","",INDEX('가격표'!$D$2:$K$501,MATCH(C475,'가격표'!$A$2:$A$501,0),MATCH(E475,'가격표'!$D$1:$K$1,0))),""))</f>
        <v/>
      </c>
      <c r="K475" s="4">
        <f>IF(C475="","",IFERROR(INDEX('판매구성'!$D$2:$D$501,MATCH(C475,'판매구성'!$A$2:$A$501,0)),""))</f>
        <v/>
      </c>
      <c r="L475" s="4">
        <f>IF(OR(J475="",K475=""),"",ROUND(J475-(J475-K475)*'설정'!$B$2,0))</f>
        <v/>
      </c>
      <c r="M475" s="4">
        <f>IF(OR(A475="",J475=""),"",ROUND(J475*N(IFERROR(INDEX('판매채널'!$F$2:$F$501,MATCH(A475,'판매채널'!$A$2:$A$501,0)),"")),0))</f>
        <v/>
      </c>
      <c r="N475" s="4">
        <f>IF(OR(J475="",K475=""),"",J475-M475-K475)</f>
        <v/>
      </c>
      <c r="O475" s="5">
        <f>IF(OR(J475="",J475=0),"",N475/J475)</f>
        <v/>
      </c>
    </row>
    <row r="476">
      <c r="B476" s="2">
        <f>IF(A476="","",IFERROR(INDEX('판매채널'!$B$2:$B$501,MATCH(A476,'판매채널'!$A$2:$A$501,0)),""))</f>
        <v/>
      </c>
      <c r="D476" s="2">
        <f>IF(C476="","",IFERROR(INDEX('판매구성'!$B$2:$B$501,MATCH(C476,'판매구성'!$A$2:$A$501,0)),""))</f>
        <v/>
      </c>
      <c r="G476" s="3" t="n"/>
      <c r="I476" s="2">
        <f>IF(C476="","",IFERROR(INDEX('판매구성'!$C$2:$C$501,MATCH(C476,'판매구성'!$A$2:$A$501,0)),""))</f>
        <v/>
      </c>
      <c r="J476" s="4">
        <f>IF(OR(C476="",E476=""),"",IFERROR(IF(INDEX('가격표'!$D$2:$K$501,MATCH(C476,'가격표'!$A$2:$A$501,0),MATCH(E476,'가격표'!$D$1:$K$1,0))="","",INDEX('가격표'!$D$2:$K$501,MATCH(C476,'가격표'!$A$2:$A$501,0),MATCH(E476,'가격표'!$D$1:$K$1,0))),""))</f>
        <v/>
      </c>
      <c r="K476" s="4">
        <f>IF(C476="","",IFERROR(INDEX('판매구성'!$D$2:$D$501,MATCH(C476,'판매구성'!$A$2:$A$501,0)),""))</f>
        <v/>
      </c>
      <c r="L476" s="4">
        <f>IF(OR(J476="",K476=""),"",ROUND(J476-(J476-K476)*'설정'!$B$2,0))</f>
        <v/>
      </c>
      <c r="M476" s="4">
        <f>IF(OR(A476="",J476=""),"",ROUND(J476*N(IFERROR(INDEX('판매채널'!$F$2:$F$501,MATCH(A476,'판매채널'!$A$2:$A$501,0)),"")),0))</f>
        <v/>
      </c>
      <c r="N476" s="4">
        <f>IF(OR(J476="",K476=""),"",J476-M476-K476)</f>
        <v/>
      </c>
      <c r="O476" s="5">
        <f>IF(OR(J476="",J476=0),"",N476/J476)</f>
        <v/>
      </c>
    </row>
    <row r="477">
      <c r="B477" s="2">
        <f>IF(A477="","",IFERROR(INDEX('판매채널'!$B$2:$B$501,MATCH(A477,'판매채널'!$A$2:$A$501,0)),""))</f>
        <v/>
      </c>
      <c r="D477" s="2">
        <f>IF(C477="","",IFERROR(INDEX('판매구성'!$B$2:$B$501,MATCH(C477,'판매구성'!$A$2:$A$501,0)),""))</f>
        <v/>
      </c>
      <c r="G477" s="3" t="n"/>
      <c r="I477" s="2">
        <f>IF(C477="","",IFERROR(INDEX('판매구성'!$C$2:$C$501,MATCH(C477,'판매구성'!$A$2:$A$501,0)),""))</f>
        <v/>
      </c>
      <c r="J477" s="4">
        <f>IF(OR(C477="",E477=""),"",IFERROR(IF(INDEX('가격표'!$D$2:$K$501,MATCH(C477,'가격표'!$A$2:$A$501,0),MATCH(E477,'가격표'!$D$1:$K$1,0))="","",INDEX('가격표'!$D$2:$K$501,MATCH(C477,'가격표'!$A$2:$A$501,0),MATCH(E477,'가격표'!$D$1:$K$1,0))),""))</f>
        <v/>
      </c>
      <c r="K477" s="4">
        <f>IF(C477="","",IFERROR(INDEX('판매구성'!$D$2:$D$501,MATCH(C477,'판매구성'!$A$2:$A$501,0)),""))</f>
        <v/>
      </c>
      <c r="L477" s="4">
        <f>IF(OR(J477="",K477=""),"",ROUND(J477-(J477-K477)*'설정'!$B$2,0))</f>
        <v/>
      </c>
      <c r="M477" s="4">
        <f>IF(OR(A477="",J477=""),"",ROUND(J477*N(IFERROR(INDEX('판매채널'!$F$2:$F$501,MATCH(A477,'판매채널'!$A$2:$A$501,0)),"")),0))</f>
        <v/>
      </c>
      <c r="N477" s="4">
        <f>IF(OR(J477="",K477=""),"",J477-M477-K477)</f>
        <v/>
      </c>
      <c r="O477" s="5">
        <f>IF(OR(J477="",J477=0),"",N477/J477)</f>
        <v/>
      </c>
    </row>
    <row r="478">
      <c r="B478" s="2">
        <f>IF(A478="","",IFERROR(INDEX('판매채널'!$B$2:$B$501,MATCH(A478,'판매채널'!$A$2:$A$501,0)),""))</f>
        <v/>
      </c>
      <c r="D478" s="2">
        <f>IF(C478="","",IFERROR(INDEX('판매구성'!$B$2:$B$501,MATCH(C478,'판매구성'!$A$2:$A$501,0)),""))</f>
        <v/>
      </c>
      <c r="G478" s="3" t="n"/>
      <c r="I478" s="2">
        <f>IF(C478="","",IFERROR(INDEX('판매구성'!$C$2:$C$501,MATCH(C478,'판매구성'!$A$2:$A$501,0)),""))</f>
        <v/>
      </c>
      <c r="J478" s="4">
        <f>IF(OR(C478="",E478=""),"",IFERROR(IF(INDEX('가격표'!$D$2:$K$501,MATCH(C478,'가격표'!$A$2:$A$501,0),MATCH(E478,'가격표'!$D$1:$K$1,0))="","",INDEX('가격표'!$D$2:$K$501,MATCH(C478,'가격표'!$A$2:$A$501,0),MATCH(E478,'가격표'!$D$1:$K$1,0))),""))</f>
        <v/>
      </c>
      <c r="K478" s="4">
        <f>IF(C478="","",IFERROR(INDEX('판매구성'!$D$2:$D$501,MATCH(C478,'판매구성'!$A$2:$A$501,0)),""))</f>
        <v/>
      </c>
      <c r="L478" s="4">
        <f>IF(OR(J478="",K478=""),"",ROUND(J478-(J478-K478)*'설정'!$B$2,0))</f>
        <v/>
      </c>
      <c r="M478" s="4">
        <f>IF(OR(A478="",J478=""),"",ROUND(J478*N(IFERROR(INDEX('판매채널'!$F$2:$F$501,MATCH(A478,'판매채널'!$A$2:$A$501,0)),"")),0))</f>
        <v/>
      </c>
      <c r="N478" s="4">
        <f>IF(OR(J478="",K478=""),"",J478-M478-K478)</f>
        <v/>
      </c>
      <c r="O478" s="5">
        <f>IF(OR(J478="",J478=0),"",N478/J478)</f>
        <v/>
      </c>
    </row>
    <row r="479">
      <c r="B479" s="2">
        <f>IF(A479="","",IFERROR(INDEX('판매채널'!$B$2:$B$501,MATCH(A479,'판매채널'!$A$2:$A$501,0)),""))</f>
        <v/>
      </c>
      <c r="D479" s="2">
        <f>IF(C479="","",IFERROR(INDEX('판매구성'!$B$2:$B$501,MATCH(C479,'판매구성'!$A$2:$A$501,0)),""))</f>
        <v/>
      </c>
      <c r="G479" s="3" t="n"/>
      <c r="I479" s="2">
        <f>IF(C479="","",IFERROR(INDEX('판매구성'!$C$2:$C$501,MATCH(C479,'판매구성'!$A$2:$A$501,0)),""))</f>
        <v/>
      </c>
      <c r="J479" s="4">
        <f>IF(OR(C479="",E479=""),"",IFERROR(IF(INDEX('가격표'!$D$2:$K$501,MATCH(C479,'가격표'!$A$2:$A$501,0),MATCH(E479,'가격표'!$D$1:$K$1,0))="","",INDEX('가격표'!$D$2:$K$501,MATCH(C479,'가격표'!$A$2:$A$501,0),MATCH(E479,'가격표'!$D$1:$K$1,0))),""))</f>
        <v/>
      </c>
      <c r="K479" s="4">
        <f>IF(C479="","",IFERROR(INDEX('판매구성'!$D$2:$D$501,MATCH(C479,'판매구성'!$A$2:$A$501,0)),""))</f>
        <v/>
      </c>
      <c r="L479" s="4">
        <f>IF(OR(J479="",K479=""),"",ROUND(J479-(J479-K479)*'설정'!$B$2,0))</f>
        <v/>
      </c>
      <c r="M479" s="4">
        <f>IF(OR(A479="",J479=""),"",ROUND(J479*N(IFERROR(INDEX('판매채널'!$F$2:$F$501,MATCH(A479,'판매채널'!$A$2:$A$501,0)),"")),0))</f>
        <v/>
      </c>
      <c r="N479" s="4">
        <f>IF(OR(J479="",K479=""),"",J479-M479-K479)</f>
        <v/>
      </c>
      <c r="O479" s="5">
        <f>IF(OR(J479="",J479=0),"",N479/J479)</f>
        <v/>
      </c>
    </row>
    <row r="480">
      <c r="B480" s="2">
        <f>IF(A480="","",IFERROR(INDEX('판매채널'!$B$2:$B$501,MATCH(A480,'판매채널'!$A$2:$A$501,0)),""))</f>
        <v/>
      </c>
      <c r="D480" s="2">
        <f>IF(C480="","",IFERROR(INDEX('판매구성'!$B$2:$B$501,MATCH(C480,'판매구성'!$A$2:$A$501,0)),""))</f>
        <v/>
      </c>
      <c r="G480" s="3" t="n"/>
      <c r="I480" s="2">
        <f>IF(C480="","",IFERROR(INDEX('판매구성'!$C$2:$C$501,MATCH(C480,'판매구성'!$A$2:$A$501,0)),""))</f>
        <v/>
      </c>
      <c r="J480" s="4">
        <f>IF(OR(C480="",E480=""),"",IFERROR(IF(INDEX('가격표'!$D$2:$K$501,MATCH(C480,'가격표'!$A$2:$A$501,0),MATCH(E480,'가격표'!$D$1:$K$1,0))="","",INDEX('가격표'!$D$2:$K$501,MATCH(C480,'가격표'!$A$2:$A$501,0),MATCH(E480,'가격표'!$D$1:$K$1,0))),""))</f>
        <v/>
      </c>
      <c r="K480" s="4">
        <f>IF(C480="","",IFERROR(INDEX('판매구성'!$D$2:$D$501,MATCH(C480,'판매구성'!$A$2:$A$501,0)),""))</f>
        <v/>
      </c>
      <c r="L480" s="4">
        <f>IF(OR(J480="",K480=""),"",ROUND(J480-(J480-K480)*'설정'!$B$2,0))</f>
        <v/>
      </c>
      <c r="M480" s="4">
        <f>IF(OR(A480="",J480=""),"",ROUND(J480*N(IFERROR(INDEX('판매채널'!$F$2:$F$501,MATCH(A480,'판매채널'!$A$2:$A$501,0)),"")),0))</f>
        <v/>
      </c>
      <c r="N480" s="4">
        <f>IF(OR(J480="",K480=""),"",J480-M480-K480)</f>
        <v/>
      </c>
      <c r="O480" s="5">
        <f>IF(OR(J480="",J480=0),"",N480/J480)</f>
        <v/>
      </c>
    </row>
    <row r="481">
      <c r="B481" s="2">
        <f>IF(A481="","",IFERROR(INDEX('판매채널'!$B$2:$B$501,MATCH(A481,'판매채널'!$A$2:$A$501,0)),""))</f>
        <v/>
      </c>
      <c r="D481" s="2">
        <f>IF(C481="","",IFERROR(INDEX('판매구성'!$B$2:$B$501,MATCH(C481,'판매구성'!$A$2:$A$501,0)),""))</f>
        <v/>
      </c>
      <c r="G481" s="3" t="n"/>
      <c r="I481" s="2">
        <f>IF(C481="","",IFERROR(INDEX('판매구성'!$C$2:$C$501,MATCH(C481,'판매구성'!$A$2:$A$501,0)),""))</f>
        <v/>
      </c>
      <c r="J481" s="4">
        <f>IF(OR(C481="",E481=""),"",IFERROR(IF(INDEX('가격표'!$D$2:$K$501,MATCH(C481,'가격표'!$A$2:$A$501,0),MATCH(E481,'가격표'!$D$1:$K$1,0))="","",INDEX('가격표'!$D$2:$K$501,MATCH(C481,'가격표'!$A$2:$A$501,0),MATCH(E481,'가격표'!$D$1:$K$1,0))),""))</f>
        <v/>
      </c>
      <c r="K481" s="4">
        <f>IF(C481="","",IFERROR(INDEX('판매구성'!$D$2:$D$501,MATCH(C481,'판매구성'!$A$2:$A$501,0)),""))</f>
        <v/>
      </c>
      <c r="L481" s="4">
        <f>IF(OR(J481="",K481=""),"",ROUND(J481-(J481-K481)*'설정'!$B$2,0))</f>
        <v/>
      </c>
      <c r="M481" s="4">
        <f>IF(OR(A481="",J481=""),"",ROUND(J481*N(IFERROR(INDEX('판매채널'!$F$2:$F$501,MATCH(A481,'판매채널'!$A$2:$A$501,0)),"")),0))</f>
        <v/>
      </c>
      <c r="N481" s="4">
        <f>IF(OR(J481="",K481=""),"",J481-M481-K481)</f>
        <v/>
      </c>
      <c r="O481" s="5">
        <f>IF(OR(J481="",J481=0),"",N481/J481)</f>
        <v/>
      </c>
    </row>
    <row r="482">
      <c r="B482" s="2">
        <f>IF(A482="","",IFERROR(INDEX('판매채널'!$B$2:$B$501,MATCH(A482,'판매채널'!$A$2:$A$501,0)),""))</f>
        <v/>
      </c>
      <c r="D482" s="2">
        <f>IF(C482="","",IFERROR(INDEX('판매구성'!$B$2:$B$501,MATCH(C482,'판매구성'!$A$2:$A$501,0)),""))</f>
        <v/>
      </c>
      <c r="G482" s="3" t="n"/>
      <c r="I482" s="2">
        <f>IF(C482="","",IFERROR(INDEX('판매구성'!$C$2:$C$501,MATCH(C482,'판매구성'!$A$2:$A$501,0)),""))</f>
        <v/>
      </c>
      <c r="J482" s="4">
        <f>IF(OR(C482="",E482=""),"",IFERROR(IF(INDEX('가격표'!$D$2:$K$501,MATCH(C482,'가격표'!$A$2:$A$501,0),MATCH(E482,'가격표'!$D$1:$K$1,0))="","",INDEX('가격표'!$D$2:$K$501,MATCH(C482,'가격표'!$A$2:$A$501,0),MATCH(E482,'가격표'!$D$1:$K$1,0))),""))</f>
        <v/>
      </c>
      <c r="K482" s="4">
        <f>IF(C482="","",IFERROR(INDEX('판매구성'!$D$2:$D$501,MATCH(C482,'판매구성'!$A$2:$A$501,0)),""))</f>
        <v/>
      </c>
      <c r="L482" s="4">
        <f>IF(OR(J482="",K482=""),"",ROUND(J482-(J482-K482)*'설정'!$B$2,0))</f>
        <v/>
      </c>
      <c r="M482" s="4">
        <f>IF(OR(A482="",J482=""),"",ROUND(J482*N(IFERROR(INDEX('판매채널'!$F$2:$F$501,MATCH(A482,'판매채널'!$A$2:$A$501,0)),"")),0))</f>
        <v/>
      </c>
      <c r="N482" s="4">
        <f>IF(OR(J482="",K482=""),"",J482-M482-K482)</f>
        <v/>
      </c>
      <c r="O482" s="5">
        <f>IF(OR(J482="",J482=0),"",N482/J482)</f>
        <v/>
      </c>
    </row>
    <row r="483">
      <c r="B483" s="2">
        <f>IF(A483="","",IFERROR(INDEX('판매채널'!$B$2:$B$501,MATCH(A483,'판매채널'!$A$2:$A$501,0)),""))</f>
        <v/>
      </c>
      <c r="D483" s="2">
        <f>IF(C483="","",IFERROR(INDEX('판매구성'!$B$2:$B$501,MATCH(C483,'판매구성'!$A$2:$A$501,0)),""))</f>
        <v/>
      </c>
      <c r="G483" s="3" t="n"/>
      <c r="I483" s="2">
        <f>IF(C483="","",IFERROR(INDEX('판매구성'!$C$2:$C$501,MATCH(C483,'판매구성'!$A$2:$A$501,0)),""))</f>
        <v/>
      </c>
      <c r="J483" s="4">
        <f>IF(OR(C483="",E483=""),"",IFERROR(IF(INDEX('가격표'!$D$2:$K$501,MATCH(C483,'가격표'!$A$2:$A$501,0),MATCH(E483,'가격표'!$D$1:$K$1,0))="","",INDEX('가격표'!$D$2:$K$501,MATCH(C483,'가격표'!$A$2:$A$501,0),MATCH(E483,'가격표'!$D$1:$K$1,0))),""))</f>
        <v/>
      </c>
      <c r="K483" s="4">
        <f>IF(C483="","",IFERROR(INDEX('판매구성'!$D$2:$D$501,MATCH(C483,'판매구성'!$A$2:$A$501,0)),""))</f>
        <v/>
      </c>
      <c r="L483" s="4">
        <f>IF(OR(J483="",K483=""),"",ROUND(J483-(J483-K483)*'설정'!$B$2,0))</f>
        <v/>
      </c>
      <c r="M483" s="4">
        <f>IF(OR(A483="",J483=""),"",ROUND(J483*N(IFERROR(INDEX('판매채널'!$F$2:$F$501,MATCH(A483,'판매채널'!$A$2:$A$501,0)),"")),0))</f>
        <v/>
      </c>
      <c r="N483" s="4">
        <f>IF(OR(J483="",K483=""),"",J483-M483-K483)</f>
        <v/>
      </c>
      <c r="O483" s="5">
        <f>IF(OR(J483="",J483=0),"",N483/J483)</f>
        <v/>
      </c>
    </row>
    <row r="484">
      <c r="B484" s="2">
        <f>IF(A484="","",IFERROR(INDEX('판매채널'!$B$2:$B$501,MATCH(A484,'판매채널'!$A$2:$A$501,0)),""))</f>
        <v/>
      </c>
      <c r="D484" s="2">
        <f>IF(C484="","",IFERROR(INDEX('판매구성'!$B$2:$B$501,MATCH(C484,'판매구성'!$A$2:$A$501,0)),""))</f>
        <v/>
      </c>
      <c r="G484" s="3" t="n"/>
      <c r="I484" s="2">
        <f>IF(C484="","",IFERROR(INDEX('판매구성'!$C$2:$C$501,MATCH(C484,'판매구성'!$A$2:$A$501,0)),""))</f>
        <v/>
      </c>
      <c r="J484" s="4">
        <f>IF(OR(C484="",E484=""),"",IFERROR(IF(INDEX('가격표'!$D$2:$K$501,MATCH(C484,'가격표'!$A$2:$A$501,0),MATCH(E484,'가격표'!$D$1:$K$1,0))="","",INDEX('가격표'!$D$2:$K$501,MATCH(C484,'가격표'!$A$2:$A$501,0),MATCH(E484,'가격표'!$D$1:$K$1,0))),""))</f>
        <v/>
      </c>
      <c r="K484" s="4">
        <f>IF(C484="","",IFERROR(INDEX('판매구성'!$D$2:$D$501,MATCH(C484,'판매구성'!$A$2:$A$501,0)),""))</f>
        <v/>
      </c>
      <c r="L484" s="4">
        <f>IF(OR(J484="",K484=""),"",ROUND(J484-(J484-K484)*'설정'!$B$2,0))</f>
        <v/>
      </c>
      <c r="M484" s="4">
        <f>IF(OR(A484="",J484=""),"",ROUND(J484*N(IFERROR(INDEX('판매채널'!$F$2:$F$501,MATCH(A484,'판매채널'!$A$2:$A$501,0)),"")),0))</f>
        <v/>
      </c>
      <c r="N484" s="4">
        <f>IF(OR(J484="",K484=""),"",J484-M484-K484)</f>
        <v/>
      </c>
      <c r="O484" s="5">
        <f>IF(OR(J484="",J484=0),"",N484/J484)</f>
        <v/>
      </c>
    </row>
    <row r="485">
      <c r="B485" s="2">
        <f>IF(A485="","",IFERROR(INDEX('판매채널'!$B$2:$B$501,MATCH(A485,'판매채널'!$A$2:$A$501,0)),""))</f>
        <v/>
      </c>
      <c r="D485" s="2">
        <f>IF(C485="","",IFERROR(INDEX('판매구성'!$B$2:$B$501,MATCH(C485,'판매구성'!$A$2:$A$501,0)),""))</f>
        <v/>
      </c>
      <c r="G485" s="3" t="n"/>
      <c r="I485" s="2">
        <f>IF(C485="","",IFERROR(INDEX('판매구성'!$C$2:$C$501,MATCH(C485,'판매구성'!$A$2:$A$501,0)),""))</f>
        <v/>
      </c>
      <c r="J485" s="4">
        <f>IF(OR(C485="",E485=""),"",IFERROR(IF(INDEX('가격표'!$D$2:$K$501,MATCH(C485,'가격표'!$A$2:$A$501,0),MATCH(E485,'가격표'!$D$1:$K$1,0))="","",INDEX('가격표'!$D$2:$K$501,MATCH(C485,'가격표'!$A$2:$A$501,0),MATCH(E485,'가격표'!$D$1:$K$1,0))),""))</f>
        <v/>
      </c>
      <c r="K485" s="4">
        <f>IF(C485="","",IFERROR(INDEX('판매구성'!$D$2:$D$501,MATCH(C485,'판매구성'!$A$2:$A$501,0)),""))</f>
        <v/>
      </c>
      <c r="L485" s="4">
        <f>IF(OR(J485="",K485=""),"",ROUND(J485-(J485-K485)*'설정'!$B$2,0))</f>
        <v/>
      </c>
      <c r="M485" s="4">
        <f>IF(OR(A485="",J485=""),"",ROUND(J485*N(IFERROR(INDEX('판매채널'!$F$2:$F$501,MATCH(A485,'판매채널'!$A$2:$A$501,0)),"")),0))</f>
        <v/>
      </c>
      <c r="N485" s="4">
        <f>IF(OR(J485="",K485=""),"",J485-M485-K485)</f>
        <v/>
      </c>
      <c r="O485" s="5">
        <f>IF(OR(J485="",J485=0),"",N485/J485)</f>
        <v/>
      </c>
    </row>
    <row r="486">
      <c r="B486" s="2">
        <f>IF(A486="","",IFERROR(INDEX('판매채널'!$B$2:$B$501,MATCH(A486,'판매채널'!$A$2:$A$501,0)),""))</f>
        <v/>
      </c>
      <c r="D486" s="2">
        <f>IF(C486="","",IFERROR(INDEX('판매구성'!$B$2:$B$501,MATCH(C486,'판매구성'!$A$2:$A$501,0)),""))</f>
        <v/>
      </c>
      <c r="G486" s="3" t="n"/>
      <c r="I486" s="2">
        <f>IF(C486="","",IFERROR(INDEX('판매구성'!$C$2:$C$501,MATCH(C486,'판매구성'!$A$2:$A$501,0)),""))</f>
        <v/>
      </c>
      <c r="J486" s="4">
        <f>IF(OR(C486="",E486=""),"",IFERROR(IF(INDEX('가격표'!$D$2:$K$501,MATCH(C486,'가격표'!$A$2:$A$501,0),MATCH(E486,'가격표'!$D$1:$K$1,0))="","",INDEX('가격표'!$D$2:$K$501,MATCH(C486,'가격표'!$A$2:$A$501,0),MATCH(E486,'가격표'!$D$1:$K$1,0))),""))</f>
        <v/>
      </c>
      <c r="K486" s="4">
        <f>IF(C486="","",IFERROR(INDEX('판매구성'!$D$2:$D$501,MATCH(C486,'판매구성'!$A$2:$A$501,0)),""))</f>
        <v/>
      </c>
      <c r="L486" s="4">
        <f>IF(OR(J486="",K486=""),"",ROUND(J486-(J486-K486)*'설정'!$B$2,0))</f>
        <v/>
      </c>
      <c r="M486" s="4">
        <f>IF(OR(A486="",J486=""),"",ROUND(J486*N(IFERROR(INDEX('판매채널'!$F$2:$F$501,MATCH(A486,'판매채널'!$A$2:$A$501,0)),"")),0))</f>
        <v/>
      </c>
      <c r="N486" s="4">
        <f>IF(OR(J486="",K486=""),"",J486-M486-K486)</f>
        <v/>
      </c>
      <c r="O486" s="5">
        <f>IF(OR(J486="",J486=0),"",N486/J486)</f>
        <v/>
      </c>
    </row>
    <row r="487">
      <c r="B487" s="2">
        <f>IF(A487="","",IFERROR(INDEX('판매채널'!$B$2:$B$501,MATCH(A487,'판매채널'!$A$2:$A$501,0)),""))</f>
        <v/>
      </c>
      <c r="D487" s="2">
        <f>IF(C487="","",IFERROR(INDEX('판매구성'!$B$2:$B$501,MATCH(C487,'판매구성'!$A$2:$A$501,0)),""))</f>
        <v/>
      </c>
      <c r="G487" s="3" t="n"/>
      <c r="I487" s="2">
        <f>IF(C487="","",IFERROR(INDEX('판매구성'!$C$2:$C$501,MATCH(C487,'판매구성'!$A$2:$A$501,0)),""))</f>
        <v/>
      </c>
      <c r="J487" s="4">
        <f>IF(OR(C487="",E487=""),"",IFERROR(IF(INDEX('가격표'!$D$2:$K$501,MATCH(C487,'가격표'!$A$2:$A$501,0),MATCH(E487,'가격표'!$D$1:$K$1,0))="","",INDEX('가격표'!$D$2:$K$501,MATCH(C487,'가격표'!$A$2:$A$501,0),MATCH(E487,'가격표'!$D$1:$K$1,0))),""))</f>
        <v/>
      </c>
      <c r="K487" s="4">
        <f>IF(C487="","",IFERROR(INDEX('판매구성'!$D$2:$D$501,MATCH(C487,'판매구성'!$A$2:$A$501,0)),""))</f>
        <v/>
      </c>
      <c r="L487" s="4">
        <f>IF(OR(J487="",K487=""),"",ROUND(J487-(J487-K487)*'설정'!$B$2,0))</f>
        <v/>
      </c>
      <c r="M487" s="4">
        <f>IF(OR(A487="",J487=""),"",ROUND(J487*N(IFERROR(INDEX('판매채널'!$F$2:$F$501,MATCH(A487,'판매채널'!$A$2:$A$501,0)),"")),0))</f>
        <v/>
      </c>
      <c r="N487" s="4">
        <f>IF(OR(J487="",K487=""),"",J487-M487-K487)</f>
        <v/>
      </c>
      <c r="O487" s="5">
        <f>IF(OR(J487="",J487=0),"",N487/J487)</f>
        <v/>
      </c>
    </row>
    <row r="488">
      <c r="B488" s="2">
        <f>IF(A488="","",IFERROR(INDEX('판매채널'!$B$2:$B$501,MATCH(A488,'판매채널'!$A$2:$A$501,0)),""))</f>
        <v/>
      </c>
      <c r="D488" s="2">
        <f>IF(C488="","",IFERROR(INDEX('판매구성'!$B$2:$B$501,MATCH(C488,'판매구성'!$A$2:$A$501,0)),""))</f>
        <v/>
      </c>
      <c r="G488" s="3" t="n"/>
      <c r="I488" s="2">
        <f>IF(C488="","",IFERROR(INDEX('판매구성'!$C$2:$C$501,MATCH(C488,'판매구성'!$A$2:$A$501,0)),""))</f>
        <v/>
      </c>
      <c r="J488" s="4">
        <f>IF(OR(C488="",E488=""),"",IFERROR(IF(INDEX('가격표'!$D$2:$K$501,MATCH(C488,'가격표'!$A$2:$A$501,0),MATCH(E488,'가격표'!$D$1:$K$1,0))="","",INDEX('가격표'!$D$2:$K$501,MATCH(C488,'가격표'!$A$2:$A$501,0),MATCH(E488,'가격표'!$D$1:$K$1,0))),""))</f>
        <v/>
      </c>
      <c r="K488" s="4">
        <f>IF(C488="","",IFERROR(INDEX('판매구성'!$D$2:$D$501,MATCH(C488,'판매구성'!$A$2:$A$501,0)),""))</f>
        <v/>
      </c>
      <c r="L488" s="4">
        <f>IF(OR(J488="",K488=""),"",ROUND(J488-(J488-K488)*'설정'!$B$2,0))</f>
        <v/>
      </c>
      <c r="M488" s="4">
        <f>IF(OR(A488="",J488=""),"",ROUND(J488*N(IFERROR(INDEX('판매채널'!$F$2:$F$501,MATCH(A488,'판매채널'!$A$2:$A$501,0)),"")),0))</f>
        <v/>
      </c>
      <c r="N488" s="4">
        <f>IF(OR(J488="",K488=""),"",J488-M488-K488)</f>
        <v/>
      </c>
      <c r="O488" s="5">
        <f>IF(OR(J488="",J488=0),"",N488/J488)</f>
        <v/>
      </c>
    </row>
    <row r="489">
      <c r="B489" s="2">
        <f>IF(A489="","",IFERROR(INDEX('판매채널'!$B$2:$B$501,MATCH(A489,'판매채널'!$A$2:$A$501,0)),""))</f>
        <v/>
      </c>
      <c r="D489" s="2">
        <f>IF(C489="","",IFERROR(INDEX('판매구성'!$B$2:$B$501,MATCH(C489,'판매구성'!$A$2:$A$501,0)),""))</f>
        <v/>
      </c>
      <c r="G489" s="3" t="n"/>
      <c r="I489" s="2">
        <f>IF(C489="","",IFERROR(INDEX('판매구성'!$C$2:$C$501,MATCH(C489,'판매구성'!$A$2:$A$501,0)),""))</f>
        <v/>
      </c>
      <c r="J489" s="4">
        <f>IF(OR(C489="",E489=""),"",IFERROR(IF(INDEX('가격표'!$D$2:$K$501,MATCH(C489,'가격표'!$A$2:$A$501,0),MATCH(E489,'가격표'!$D$1:$K$1,0))="","",INDEX('가격표'!$D$2:$K$501,MATCH(C489,'가격표'!$A$2:$A$501,0),MATCH(E489,'가격표'!$D$1:$K$1,0))),""))</f>
        <v/>
      </c>
      <c r="K489" s="4">
        <f>IF(C489="","",IFERROR(INDEX('판매구성'!$D$2:$D$501,MATCH(C489,'판매구성'!$A$2:$A$501,0)),""))</f>
        <v/>
      </c>
      <c r="L489" s="4">
        <f>IF(OR(J489="",K489=""),"",ROUND(J489-(J489-K489)*'설정'!$B$2,0))</f>
        <v/>
      </c>
      <c r="M489" s="4">
        <f>IF(OR(A489="",J489=""),"",ROUND(J489*N(IFERROR(INDEX('판매채널'!$F$2:$F$501,MATCH(A489,'판매채널'!$A$2:$A$501,0)),"")),0))</f>
        <v/>
      </c>
      <c r="N489" s="4">
        <f>IF(OR(J489="",K489=""),"",J489-M489-K489)</f>
        <v/>
      </c>
      <c r="O489" s="5">
        <f>IF(OR(J489="",J489=0),"",N489/J489)</f>
        <v/>
      </c>
    </row>
    <row r="490">
      <c r="B490" s="2">
        <f>IF(A490="","",IFERROR(INDEX('판매채널'!$B$2:$B$501,MATCH(A490,'판매채널'!$A$2:$A$501,0)),""))</f>
        <v/>
      </c>
      <c r="D490" s="2">
        <f>IF(C490="","",IFERROR(INDEX('판매구성'!$B$2:$B$501,MATCH(C490,'판매구성'!$A$2:$A$501,0)),""))</f>
        <v/>
      </c>
      <c r="G490" s="3" t="n"/>
      <c r="I490" s="2">
        <f>IF(C490="","",IFERROR(INDEX('판매구성'!$C$2:$C$501,MATCH(C490,'판매구성'!$A$2:$A$501,0)),""))</f>
        <v/>
      </c>
      <c r="J490" s="4">
        <f>IF(OR(C490="",E490=""),"",IFERROR(IF(INDEX('가격표'!$D$2:$K$501,MATCH(C490,'가격표'!$A$2:$A$501,0),MATCH(E490,'가격표'!$D$1:$K$1,0))="","",INDEX('가격표'!$D$2:$K$501,MATCH(C490,'가격표'!$A$2:$A$501,0),MATCH(E490,'가격표'!$D$1:$K$1,0))),""))</f>
        <v/>
      </c>
      <c r="K490" s="4">
        <f>IF(C490="","",IFERROR(INDEX('판매구성'!$D$2:$D$501,MATCH(C490,'판매구성'!$A$2:$A$501,0)),""))</f>
        <v/>
      </c>
      <c r="L490" s="4">
        <f>IF(OR(J490="",K490=""),"",ROUND(J490-(J490-K490)*'설정'!$B$2,0))</f>
        <v/>
      </c>
      <c r="M490" s="4">
        <f>IF(OR(A490="",J490=""),"",ROUND(J490*N(IFERROR(INDEX('판매채널'!$F$2:$F$501,MATCH(A490,'판매채널'!$A$2:$A$501,0)),"")),0))</f>
        <v/>
      </c>
      <c r="N490" s="4">
        <f>IF(OR(J490="",K490=""),"",J490-M490-K490)</f>
        <v/>
      </c>
      <c r="O490" s="5">
        <f>IF(OR(J490="",J490=0),"",N490/J490)</f>
        <v/>
      </c>
    </row>
    <row r="491">
      <c r="B491" s="2">
        <f>IF(A491="","",IFERROR(INDEX('판매채널'!$B$2:$B$501,MATCH(A491,'판매채널'!$A$2:$A$501,0)),""))</f>
        <v/>
      </c>
      <c r="D491" s="2">
        <f>IF(C491="","",IFERROR(INDEX('판매구성'!$B$2:$B$501,MATCH(C491,'판매구성'!$A$2:$A$501,0)),""))</f>
        <v/>
      </c>
      <c r="G491" s="3" t="n"/>
      <c r="I491" s="2">
        <f>IF(C491="","",IFERROR(INDEX('판매구성'!$C$2:$C$501,MATCH(C491,'판매구성'!$A$2:$A$501,0)),""))</f>
        <v/>
      </c>
      <c r="J491" s="4">
        <f>IF(OR(C491="",E491=""),"",IFERROR(IF(INDEX('가격표'!$D$2:$K$501,MATCH(C491,'가격표'!$A$2:$A$501,0),MATCH(E491,'가격표'!$D$1:$K$1,0))="","",INDEX('가격표'!$D$2:$K$501,MATCH(C491,'가격표'!$A$2:$A$501,0),MATCH(E491,'가격표'!$D$1:$K$1,0))),""))</f>
        <v/>
      </c>
      <c r="K491" s="4">
        <f>IF(C491="","",IFERROR(INDEX('판매구성'!$D$2:$D$501,MATCH(C491,'판매구성'!$A$2:$A$501,0)),""))</f>
        <v/>
      </c>
      <c r="L491" s="4">
        <f>IF(OR(J491="",K491=""),"",ROUND(J491-(J491-K491)*'설정'!$B$2,0))</f>
        <v/>
      </c>
      <c r="M491" s="4">
        <f>IF(OR(A491="",J491=""),"",ROUND(J491*N(IFERROR(INDEX('판매채널'!$F$2:$F$501,MATCH(A491,'판매채널'!$A$2:$A$501,0)),"")),0))</f>
        <v/>
      </c>
      <c r="N491" s="4">
        <f>IF(OR(J491="",K491=""),"",J491-M491-K491)</f>
        <v/>
      </c>
      <c r="O491" s="5">
        <f>IF(OR(J491="",J491=0),"",N491/J491)</f>
        <v/>
      </c>
    </row>
    <row r="492">
      <c r="B492" s="2">
        <f>IF(A492="","",IFERROR(INDEX('판매채널'!$B$2:$B$501,MATCH(A492,'판매채널'!$A$2:$A$501,0)),""))</f>
        <v/>
      </c>
      <c r="D492" s="2">
        <f>IF(C492="","",IFERROR(INDEX('판매구성'!$B$2:$B$501,MATCH(C492,'판매구성'!$A$2:$A$501,0)),""))</f>
        <v/>
      </c>
      <c r="G492" s="3" t="n"/>
      <c r="I492" s="2">
        <f>IF(C492="","",IFERROR(INDEX('판매구성'!$C$2:$C$501,MATCH(C492,'판매구성'!$A$2:$A$501,0)),""))</f>
        <v/>
      </c>
      <c r="J492" s="4">
        <f>IF(OR(C492="",E492=""),"",IFERROR(IF(INDEX('가격표'!$D$2:$K$501,MATCH(C492,'가격표'!$A$2:$A$501,0),MATCH(E492,'가격표'!$D$1:$K$1,0))="","",INDEX('가격표'!$D$2:$K$501,MATCH(C492,'가격표'!$A$2:$A$501,0),MATCH(E492,'가격표'!$D$1:$K$1,0))),""))</f>
        <v/>
      </c>
      <c r="K492" s="4">
        <f>IF(C492="","",IFERROR(INDEX('판매구성'!$D$2:$D$501,MATCH(C492,'판매구성'!$A$2:$A$501,0)),""))</f>
        <v/>
      </c>
      <c r="L492" s="4">
        <f>IF(OR(J492="",K492=""),"",ROUND(J492-(J492-K492)*'설정'!$B$2,0))</f>
        <v/>
      </c>
      <c r="M492" s="4">
        <f>IF(OR(A492="",J492=""),"",ROUND(J492*N(IFERROR(INDEX('판매채널'!$F$2:$F$501,MATCH(A492,'판매채널'!$A$2:$A$501,0)),"")),0))</f>
        <v/>
      </c>
      <c r="N492" s="4">
        <f>IF(OR(J492="",K492=""),"",J492-M492-K492)</f>
        <v/>
      </c>
      <c r="O492" s="5">
        <f>IF(OR(J492="",J492=0),"",N492/J492)</f>
        <v/>
      </c>
    </row>
    <row r="493">
      <c r="B493" s="2">
        <f>IF(A493="","",IFERROR(INDEX('판매채널'!$B$2:$B$501,MATCH(A493,'판매채널'!$A$2:$A$501,0)),""))</f>
        <v/>
      </c>
      <c r="D493" s="2">
        <f>IF(C493="","",IFERROR(INDEX('판매구성'!$B$2:$B$501,MATCH(C493,'판매구성'!$A$2:$A$501,0)),""))</f>
        <v/>
      </c>
      <c r="G493" s="3" t="n"/>
      <c r="I493" s="2">
        <f>IF(C493="","",IFERROR(INDEX('판매구성'!$C$2:$C$501,MATCH(C493,'판매구성'!$A$2:$A$501,0)),""))</f>
        <v/>
      </c>
      <c r="J493" s="4">
        <f>IF(OR(C493="",E493=""),"",IFERROR(IF(INDEX('가격표'!$D$2:$K$501,MATCH(C493,'가격표'!$A$2:$A$501,0),MATCH(E493,'가격표'!$D$1:$K$1,0))="","",INDEX('가격표'!$D$2:$K$501,MATCH(C493,'가격표'!$A$2:$A$501,0),MATCH(E493,'가격표'!$D$1:$K$1,0))),""))</f>
        <v/>
      </c>
      <c r="K493" s="4">
        <f>IF(C493="","",IFERROR(INDEX('판매구성'!$D$2:$D$501,MATCH(C493,'판매구성'!$A$2:$A$501,0)),""))</f>
        <v/>
      </c>
      <c r="L493" s="4">
        <f>IF(OR(J493="",K493=""),"",ROUND(J493-(J493-K493)*'설정'!$B$2,0))</f>
        <v/>
      </c>
      <c r="M493" s="4">
        <f>IF(OR(A493="",J493=""),"",ROUND(J493*N(IFERROR(INDEX('판매채널'!$F$2:$F$501,MATCH(A493,'판매채널'!$A$2:$A$501,0)),"")),0))</f>
        <v/>
      </c>
      <c r="N493" s="4">
        <f>IF(OR(J493="",K493=""),"",J493-M493-K493)</f>
        <v/>
      </c>
      <c r="O493" s="5">
        <f>IF(OR(J493="",J493=0),"",N493/J493)</f>
        <v/>
      </c>
    </row>
    <row r="494">
      <c r="B494" s="2">
        <f>IF(A494="","",IFERROR(INDEX('판매채널'!$B$2:$B$501,MATCH(A494,'판매채널'!$A$2:$A$501,0)),""))</f>
        <v/>
      </c>
      <c r="D494" s="2">
        <f>IF(C494="","",IFERROR(INDEX('판매구성'!$B$2:$B$501,MATCH(C494,'판매구성'!$A$2:$A$501,0)),""))</f>
        <v/>
      </c>
      <c r="G494" s="3" t="n"/>
      <c r="I494" s="2">
        <f>IF(C494="","",IFERROR(INDEX('판매구성'!$C$2:$C$501,MATCH(C494,'판매구성'!$A$2:$A$501,0)),""))</f>
        <v/>
      </c>
      <c r="J494" s="4">
        <f>IF(OR(C494="",E494=""),"",IFERROR(IF(INDEX('가격표'!$D$2:$K$501,MATCH(C494,'가격표'!$A$2:$A$501,0),MATCH(E494,'가격표'!$D$1:$K$1,0))="","",INDEX('가격표'!$D$2:$K$501,MATCH(C494,'가격표'!$A$2:$A$501,0),MATCH(E494,'가격표'!$D$1:$K$1,0))),""))</f>
        <v/>
      </c>
      <c r="K494" s="4">
        <f>IF(C494="","",IFERROR(INDEX('판매구성'!$D$2:$D$501,MATCH(C494,'판매구성'!$A$2:$A$501,0)),""))</f>
        <v/>
      </c>
      <c r="L494" s="4">
        <f>IF(OR(J494="",K494=""),"",ROUND(J494-(J494-K494)*'설정'!$B$2,0))</f>
        <v/>
      </c>
      <c r="M494" s="4">
        <f>IF(OR(A494="",J494=""),"",ROUND(J494*N(IFERROR(INDEX('판매채널'!$F$2:$F$501,MATCH(A494,'판매채널'!$A$2:$A$501,0)),"")),0))</f>
        <v/>
      </c>
      <c r="N494" s="4">
        <f>IF(OR(J494="",K494=""),"",J494-M494-K494)</f>
        <v/>
      </c>
      <c r="O494" s="5">
        <f>IF(OR(J494="",J494=0),"",N494/J494)</f>
        <v/>
      </c>
    </row>
    <row r="495">
      <c r="B495" s="2">
        <f>IF(A495="","",IFERROR(INDEX('판매채널'!$B$2:$B$501,MATCH(A495,'판매채널'!$A$2:$A$501,0)),""))</f>
        <v/>
      </c>
      <c r="D495" s="2">
        <f>IF(C495="","",IFERROR(INDEX('판매구성'!$B$2:$B$501,MATCH(C495,'판매구성'!$A$2:$A$501,0)),""))</f>
        <v/>
      </c>
      <c r="G495" s="3" t="n"/>
      <c r="I495" s="2">
        <f>IF(C495="","",IFERROR(INDEX('판매구성'!$C$2:$C$501,MATCH(C495,'판매구성'!$A$2:$A$501,0)),""))</f>
        <v/>
      </c>
      <c r="J495" s="4">
        <f>IF(OR(C495="",E495=""),"",IFERROR(IF(INDEX('가격표'!$D$2:$K$501,MATCH(C495,'가격표'!$A$2:$A$501,0),MATCH(E495,'가격표'!$D$1:$K$1,0))="","",INDEX('가격표'!$D$2:$K$501,MATCH(C495,'가격표'!$A$2:$A$501,0),MATCH(E495,'가격표'!$D$1:$K$1,0))),""))</f>
        <v/>
      </c>
      <c r="K495" s="4">
        <f>IF(C495="","",IFERROR(INDEX('판매구성'!$D$2:$D$501,MATCH(C495,'판매구성'!$A$2:$A$501,0)),""))</f>
        <v/>
      </c>
      <c r="L495" s="4">
        <f>IF(OR(J495="",K495=""),"",ROUND(J495-(J495-K495)*'설정'!$B$2,0))</f>
        <v/>
      </c>
      <c r="M495" s="4">
        <f>IF(OR(A495="",J495=""),"",ROUND(J495*N(IFERROR(INDEX('판매채널'!$F$2:$F$501,MATCH(A495,'판매채널'!$A$2:$A$501,0)),"")),0))</f>
        <v/>
      </c>
      <c r="N495" s="4">
        <f>IF(OR(J495="",K495=""),"",J495-M495-K495)</f>
        <v/>
      </c>
      <c r="O495" s="5">
        <f>IF(OR(J495="",J495=0),"",N495/J495)</f>
        <v/>
      </c>
    </row>
    <row r="496">
      <c r="B496" s="2">
        <f>IF(A496="","",IFERROR(INDEX('판매채널'!$B$2:$B$501,MATCH(A496,'판매채널'!$A$2:$A$501,0)),""))</f>
        <v/>
      </c>
      <c r="D496" s="2">
        <f>IF(C496="","",IFERROR(INDEX('판매구성'!$B$2:$B$501,MATCH(C496,'판매구성'!$A$2:$A$501,0)),""))</f>
        <v/>
      </c>
      <c r="G496" s="3" t="n"/>
      <c r="I496" s="2">
        <f>IF(C496="","",IFERROR(INDEX('판매구성'!$C$2:$C$501,MATCH(C496,'판매구성'!$A$2:$A$501,0)),""))</f>
        <v/>
      </c>
      <c r="J496" s="4">
        <f>IF(OR(C496="",E496=""),"",IFERROR(IF(INDEX('가격표'!$D$2:$K$501,MATCH(C496,'가격표'!$A$2:$A$501,0),MATCH(E496,'가격표'!$D$1:$K$1,0))="","",INDEX('가격표'!$D$2:$K$501,MATCH(C496,'가격표'!$A$2:$A$501,0),MATCH(E496,'가격표'!$D$1:$K$1,0))),""))</f>
        <v/>
      </c>
      <c r="K496" s="4">
        <f>IF(C496="","",IFERROR(INDEX('판매구성'!$D$2:$D$501,MATCH(C496,'판매구성'!$A$2:$A$501,0)),""))</f>
        <v/>
      </c>
      <c r="L496" s="4">
        <f>IF(OR(J496="",K496=""),"",ROUND(J496-(J496-K496)*'설정'!$B$2,0))</f>
        <v/>
      </c>
      <c r="M496" s="4">
        <f>IF(OR(A496="",J496=""),"",ROUND(J496*N(IFERROR(INDEX('판매채널'!$F$2:$F$501,MATCH(A496,'판매채널'!$A$2:$A$501,0)),"")),0))</f>
        <v/>
      </c>
      <c r="N496" s="4">
        <f>IF(OR(J496="",K496=""),"",J496-M496-K496)</f>
        <v/>
      </c>
      <c r="O496" s="5">
        <f>IF(OR(J496="",J496=0),"",N496/J496)</f>
        <v/>
      </c>
    </row>
    <row r="497">
      <c r="B497" s="2">
        <f>IF(A497="","",IFERROR(INDEX('판매채널'!$B$2:$B$501,MATCH(A497,'판매채널'!$A$2:$A$501,0)),""))</f>
        <v/>
      </c>
      <c r="D497" s="2">
        <f>IF(C497="","",IFERROR(INDEX('판매구성'!$B$2:$B$501,MATCH(C497,'판매구성'!$A$2:$A$501,0)),""))</f>
        <v/>
      </c>
      <c r="G497" s="3" t="n"/>
      <c r="I497" s="2">
        <f>IF(C497="","",IFERROR(INDEX('판매구성'!$C$2:$C$501,MATCH(C497,'판매구성'!$A$2:$A$501,0)),""))</f>
        <v/>
      </c>
      <c r="J497" s="4">
        <f>IF(OR(C497="",E497=""),"",IFERROR(IF(INDEX('가격표'!$D$2:$K$501,MATCH(C497,'가격표'!$A$2:$A$501,0),MATCH(E497,'가격표'!$D$1:$K$1,0))="","",INDEX('가격표'!$D$2:$K$501,MATCH(C497,'가격표'!$A$2:$A$501,0),MATCH(E497,'가격표'!$D$1:$K$1,0))),""))</f>
        <v/>
      </c>
      <c r="K497" s="4">
        <f>IF(C497="","",IFERROR(INDEX('판매구성'!$D$2:$D$501,MATCH(C497,'판매구성'!$A$2:$A$501,0)),""))</f>
        <v/>
      </c>
      <c r="L497" s="4">
        <f>IF(OR(J497="",K497=""),"",ROUND(J497-(J497-K497)*'설정'!$B$2,0))</f>
        <v/>
      </c>
      <c r="M497" s="4">
        <f>IF(OR(A497="",J497=""),"",ROUND(J497*N(IFERROR(INDEX('판매채널'!$F$2:$F$501,MATCH(A497,'판매채널'!$A$2:$A$501,0)),"")),0))</f>
        <v/>
      </c>
      <c r="N497" s="4">
        <f>IF(OR(J497="",K497=""),"",J497-M497-K497)</f>
        <v/>
      </c>
      <c r="O497" s="5">
        <f>IF(OR(J497="",J497=0),"",N497/J497)</f>
        <v/>
      </c>
    </row>
    <row r="498">
      <c r="B498" s="2">
        <f>IF(A498="","",IFERROR(INDEX('판매채널'!$B$2:$B$501,MATCH(A498,'판매채널'!$A$2:$A$501,0)),""))</f>
        <v/>
      </c>
      <c r="D498" s="2">
        <f>IF(C498="","",IFERROR(INDEX('판매구성'!$B$2:$B$501,MATCH(C498,'판매구성'!$A$2:$A$501,0)),""))</f>
        <v/>
      </c>
      <c r="G498" s="3" t="n"/>
      <c r="I498" s="2">
        <f>IF(C498="","",IFERROR(INDEX('판매구성'!$C$2:$C$501,MATCH(C498,'판매구성'!$A$2:$A$501,0)),""))</f>
        <v/>
      </c>
      <c r="J498" s="4">
        <f>IF(OR(C498="",E498=""),"",IFERROR(IF(INDEX('가격표'!$D$2:$K$501,MATCH(C498,'가격표'!$A$2:$A$501,0),MATCH(E498,'가격표'!$D$1:$K$1,0))="","",INDEX('가격표'!$D$2:$K$501,MATCH(C498,'가격표'!$A$2:$A$501,0),MATCH(E498,'가격표'!$D$1:$K$1,0))),""))</f>
        <v/>
      </c>
      <c r="K498" s="4">
        <f>IF(C498="","",IFERROR(INDEX('판매구성'!$D$2:$D$501,MATCH(C498,'판매구성'!$A$2:$A$501,0)),""))</f>
        <v/>
      </c>
      <c r="L498" s="4">
        <f>IF(OR(J498="",K498=""),"",ROUND(J498-(J498-K498)*'설정'!$B$2,0))</f>
        <v/>
      </c>
      <c r="M498" s="4">
        <f>IF(OR(A498="",J498=""),"",ROUND(J498*N(IFERROR(INDEX('판매채널'!$F$2:$F$501,MATCH(A498,'판매채널'!$A$2:$A$501,0)),"")),0))</f>
        <v/>
      </c>
      <c r="N498" s="4">
        <f>IF(OR(J498="",K498=""),"",J498-M498-K498)</f>
        <v/>
      </c>
      <c r="O498" s="5">
        <f>IF(OR(J498="",J498=0),"",N498/J498)</f>
        <v/>
      </c>
    </row>
    <row r="499">
      <c r="B499" s="2">
        <f>IF(A499="","",IFERROR(INDEX('판매채널'!$B$2:$B$501,MATCH(A499,'판매채널'!$A$2:$A$501,0)),""))</f>
        <v/>
      </c>
      <c r="D499" s="2">
        <f>IF(C499="","",IFERROR(INDEX('판매구성'!$B$2:$B$501,MATCH(C499,'판매구성'!$A$2:$A$501,0)),""))</f>
        <v/>
      </c>
      <c r="G499" s="3" t="n"/>
      <c r="I499" s="2">
        <f>IF(C499="","",IFERROR(INDEX('판매구성'!$C$2:$C$501,MATCH(C499,'판매구성'!$A$2:$A$501,0)),""))</f>
        <v/>
      </c>
      <c r="J499" s="4">
        <f>IF(OR(C499="",E499=""),"",IFERROR(IF(INDEX('가격표'!$D$2:$K$501,MATCH(C499,'가격표'!$A$2:$A$501,0),MATCH(E499,'가격표'!$D$1:$K$1,0))="","",INDEX('가격표'!$D$2:$K$501,MATCH(C499,'가격표'!$A$2:$A$501,0),MATCH(E499,'가격표'!$D$1:$K$1,0))),""))</f>
        <v/>
      </c>
      <c r="K499" s="4">
        <f>IF(C499="","",IFERROR(INDEX('판매구성'!$D$2:$D$501,MATCH(C499,'판매구성'!$A$2:$A$501,0)),""))</f>
        <v/>
      </c>
      <c r="L499" s="4">
        <f>IF(OR(J499="",K499=""),"",ROUND(J499-(J499-K499)*'설정'!$B$2,0))</f>
        <v/>
      </c>
      <c r="M499" s="4">
        <f>IF(OR(A499="",J499=""),"",ROUND(J499*N(IFERROR(INDEX('판매채널'!$F$2:$F$501,MATCH(A499,'판매채널'!$A$2:$A$501,0)),"")),0))</f>
        <v/>
      </c>
      <c r="N499" s="4">
        <f>IF(OR(J499="",K499=""),"",J499-M499-K499)</f>
        <v/>
      </c>
      <c r="O499" s="5">
        <f>IF(OR(J499="",J499=0),"",N499/J499)</f>
        <v/>
      </c>
    </row>
    <row r="500">
      <c r="B500" s="2">
        <f>IF(A500="","",IFERROR(INDEX('판매채널'!$B$2:$B$501,MATCH(A500,'판매채널'!$A$2:$A$501,0)),""))</f>
        <v/>
      </c>
      <c r="D500" s="2">
        <f>IF(C500="","",IFERROR(INDEX('판매구성'!$B$2:$B$501,MATCH(C500,'판매구성'!$A$2:$A$501,0)),""))</f>
        <v/>
      </c>
      <c r="G500" s="3" t="n"/>
      <c r="I500" s="2">
        <f>IF(C500="","",IFERROR(INDEX('판매구성'!$C$2:$C$501,MATCH(C500,'판매구성'!$A$2:$A$501,0)),""))</f>
        <v/>
      </c>
      <c r="J500" s="4">
        <f>IF(OR(C500="",E500=""),"",IFERROR(IF(INDEX('가격표'!$D$2:$K$501,MATCH(C500,'가격표'!$A$2:$A$501,0),MATCH(E500,'가격표'!$D$1:$K$1,0))="","",INDEX('가격표'!$D$2:$K$501,MATCH(C500,'가격표'!$A$2:$A$501,0),MATCH(E500,'가격표'!$D$1:$K$1,0))),""))</f>
        <v/>
      </c>
      <c r="K500" s="4">
        <f>IF(C500="","",IFERROR(INDEX('판매구성'!$D$2:$D$501,MATCH(C500,'판매구성'!$A$2:$A$501,0)),""))</f>
        <v/>
      </c>
      <c r="L500" s="4">
        <f>IF(OR(J500="",K500=""),"",ROUND(J500-(J500-K500)*'설정'!$B$2,0))</f>
        <v/>
      </c>
      <c r="M500" s="4">
        <f>IF(OR(A500="",J500=""),"",ROUND(J500*N(IFERROR(INDEX('판매채널'!$F$2:$F$501,MATCH(A500,'판매채널'!$A$2:$A$501,0)),"")),0))</f>
        <v/>
      </c>
      <c r="N500" s="4">
        <f>IF(OR(J500="",K500=""),"",J500-M500-K500)</f>
        <v/>
      </c>
      <c r="O500" s="5">
        <f>IF(OR(J500="",J500=0),"",N500/J500)</f>
        <v/>
      </c>
    </row>
    <row r="501">
      <c r="B501" s="2">
        <f>IF(A501="","",IFERROR(INDEX('판매채널'!$B$2:$B$501,MATCH(A501,'판매채널'!$A$2:$A$501,0)),""))</f>
        <v/>
      </c>
      <c r="D501" s="2">
        <f>IF(C501="","",IFERROR(INDEX('판매구성'!$B$2:$B$501,MATCH(C501,'판매구성'!$A$2:$A$501,0)),""))</f>
        <v/>
      </c>
      <c r="G501" s="3" t="n"/>
      <c r="I501" s="2">
        <f>IF(C501="","",IFERROR(INDEX('판매구성'!$C$2:$C$501,MATCH(C501,'판매구성'!$A$2:$A$501,0)),""))</f>
        <v/>
      </c>
      <c r="J501" s="4">
        <f>IF(OR(C501="",E501=""),"",IFERROR(IF(INDEX('가격표'!$D$2:$K$501,MATCH(C501,'가격표'!$A$2:$A$501,0),MATCH(E501,'가격표'!$D$1:$K$1,0))="","",INDEX('가격표'!$D$2:$K$501,MATCH(C501,'가격표'!$A$2:$A$501,0),MATCH(E501,'가격표'!$D$1:$K$1,0))),""))</f>
        <v/>
      </c>
      <c r="K501" s="4">
        <f>IF(C501="","",IFERROR(INDEX('판매구성'!$D$2:$D$501,MATCH(C501,'판매구성'!$A$2:$A$501,0)),""))</f>
        <v/>
      </c>
      <c r="L501" s="4">
        <f>IF(OR(J501="",K501=""),"",ROUND(J501-(J501-K501)*'설정'!$B$2,0))</f>
        <v/>
      </c>
      <c r="M501" s="4">
        <f>IF(OR(A501="",J501=""),"",ROUND(J501*N(IFERROR(INDEX('판매채널'!$F$2:$F$501,MATCH(A501,'판매채널'!$A$2:$A$501,0)),"")),0))</f>
        <v/>
      </c>
      <c r="N501" s="4">
        <f>IF(OR(J501="",K501=""),"",J501-M501-K501)</f>
        <v/>
      </c>
      <c r="O501" s="5">
        <f>IF(OR(J501="",J501=0),"",N501/J501)</f>
        <v/>
      </c>
    </row>
  </sheetData>
  <autoFilter ref="A1:P501"/>
  <conditionalFormatting sqref="J2:J501">
    <cfRule type="expression" priority="1" dxfId="0">
      <formula>AND($C2&lt;&gt;"",$E2&lt;&gt;"",$J2="")</formula>
    </cfRule>
  </conditionalFormatting>
  <conditionalFormatting sqref="G2:H501">
    <cfRule type="expression" priority="2" dxfId="0">
      <formula>AND($G2&lt;&gt;"",COUNTIFS($A$2:$A$501,$A2,$G$2:$G$501,$G2,$H$2:$H$501,$H2)&gt;1)</formula>
    </cfRule>
  </conditionalFormatting>
  <conditionalFormatting sqref="N2:N501">
    <cfRule type="expression" priority="3" dxfId="0">
      <formula>AND($N2&lt;&gt;"",$N2&lt;0)</formula>
    </cfRule>
  </conditionalFormatting>
  <dataValidations count="5">
    <dataValidation sqref="A2:A501" showDropDown="0" showInputMessage="0" showErrorMessage="1" allowBlank="1" errorTitle="입력 오류" error="목록에 있는 값만 선택할 수 있습니다." type="list">
      <formula1>='판매채널'!$A$2:$A$501</formula1>
    </dataValidation>
    <dataValidation sqref="C2:C501" showDropDown="0" showInputMessage="0" showErrorMessage="1" allowBlank="1" errorTitle="입력 오류" error="목록에 있는 값만 선택할 수 있습니다." type="list">
      <formula1>='판매구성'!$A$2:$A$501</formula1>
    </dataValidation>
    <dataValidation sqref="E2:E501" showDropDown="0" showInputMessage="0" showErrorMessage="1" allowBlank="1" errorTitle="입력 오류" error="목록에 있는 값만 선택할 수 있습니다." type="list">
      <formula1>='가격표'!$D$1:$K$1</formula1>
    </dataValidation>
    <dataValidation sqref="F2:F501" showDropDown="0" showInputMessage="0" showErrorMessage="1" allowBlank="1" errorTitle="입력 오류" error="목록에 있는 값만 선택할 수 있습니다." type="list">
      <formula1>='광고채널'!$A$2:$A$501</formula1>
    </dataValidation>
    <dataValidation sqref="P2:P501" showDropDown="0" showInputMessage="0" showErrorMessage="1" allowBlank="1" errorTitle="입력 오류" error="목록에 있는 값만 선택할 수 있습니다." type="list">
      <formula1>"판매중,품절,판매중지"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6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4" customHeight="1">
      <c r="A1" s="1" t="inlineStr">
        <is>
          <t>구성코드</t>
        </is>
      </c>
      <c r="B1" s="1" t="inlineStr">
        <is>
          <t>구성명</t>
        </is>
      </c>
      <c r="C1" s="1" t="inlineStr">
        <is>
          <t>구성원가</t>
        </is>
      </c>
      <c r="D1" s="1" t="inlineStr">
        <is>
          <t>소비자가격</t>
        </is>
      </c>
      <c r="E1" s="1" t="inlineStr">
        <is>
          <t>상시할인가</t>
        </is>
      </c>
      <c r="F1" s="1" t="inlineStr">
        <is>
          <t>브랜드위크가</t>
        </is>
      </c>
      <c r="G1" s="1" t="inlineStr">
        <is>
          <t>원데이특가</t>
        </is>
      </c>
      <c r="H1" s="1" t="inlineStr">
        <is>
          <t>모바일라이브방송가</t>
        </is>
      </c>
      <c r="I1" s="1" t="inlineStr">
        <is>
          <t>공동구매가</t>
        </is>
      </c>
      <c r="J1" s="1" t="inlineStr">
        <is>
          <t>폐쇄몰가격</t>
        </is>
      </c>
      <c r="K1" s="1" t="inlineStr">
        <is>
          <t>오프라인가격</t>
        </is>
      </c>
    </row>
    <row r="2">
      <c r="B2" s="2">
        <f>IF(A2="","",IFERROR(INDEX('판매구성'!$B$2:$B$501,MATCH(A2,'판매구성'!$A$2:$A$501,0)),""))</f>
        <v/>
      </c>
      <c r="C2" s="4">
        <f>IF(A2="","",IFERROR(INDEX('판매구성'!$D$2:$D$501,MATCH(A2,'판매구성'!$A$2:$A$501,0)),""))</f>
        <v/>
      </c>
      <c r="D2" s="6" t="n"/>
      <c r="E2" s="6" t="n"/>
      <c r="F2" s="6" t="n"/>
      <c r="G2" s="6" t="n"/>
      <c r="H2" s="6" t="n"/>
      <c r="I2" s="6" t="n"/>
      <c r="J2" s="6" t="n"/>
      <c r="K2" s="6" t="n"/>
    </row>
    <row r="3">
      <c r="B3" s="2">
        <f>IF(A3="","",IFERROR(INDEX('판매구성'!$B$2:$B$501,MATCH(A3,'판매구성'!$A$2:$A$501,0)),""))</f>
        <v/>
      </c>
      <c r="C3" s="4">
        <f>IF(A3="","",IFERROR(INDEX('판매구성'!$D$2:$D$501,MATCH(A3,'판매구성'!$A$2:$A$501,0)),""))</f>
        <v/>
      </c>
      <c r="D3" s="6" t="n"/>
      <c r="E3" s="6" t="n"/>
      <c r="F3" s="6" t="n"/>
      <c r="G3" s="6" t="n"/>
      <c r="H3" s="6" t="n"/>
      <c r="I3" s="6" t="n"/>
      <c r="J3" s="6" t="n"/>
      <c r="K3" s="6" t="n"/>
    </row>
    <row r="4">
      <c r="B4" s="2">
        <f>IF(A4="","",IFERROR(INDEX('판매구성'!$B$2:$B$501,MATCH(A4,'판매구성'!$A$2:$A$501,0)),""))</f>
        <v/>
      </c>
      <c r="C4" s="4">
        <f>IF(A4="","",IFERROR(INDEX('판매구성'!$D$2:$D$501,MATCH(A4,'판매구성'!$A$2:$A$501,0)),""))</f>
        <v/>
      </c>
      <c r="D4" s="6" t="n"/>
      <c r="E4" s="6" t="n"/>
      <c r="F4" s="6" t="n"/>
      <c r="G4" s="6" t="n"/>
      <c r="H4" s="6" t="n"/>
      <c r="I4" s="6" t="n"/>
      <c r="J4" s="6" t="n"/>
      <c r="K4" s="6" t="n"/>
    </row>
    <row r="5">
      <c r="B5" s="2">
        <f>IF(A5="","",IFERROR(INDEX('판매구성'!$B$2:$B$501,MATCH(A5,'판매구성'!$A$2:$A$501,0)),""))</f>
        <v/>
      </c>
      <c r="C5" s="4">
        <f>IF(A5="","",IFERROR(INDEX('판매구성'!$D$2:$D$501,MATCH(A5,'판매구성'!$A$2:$A$501,0)),""))</f>
        <v/>
      </c>
      <c r="D5" s="6" t="n"/>
      <c r="E5" s="6" t="n"/>
      <c r="F5" s="6" t="n"/>
      <c r="G5" s="6" t="n"/>
      <c r="H5" s="6" t="n"/>
      <c r="I5" s="6" t="n"/>
      <c r="J5" s="6" t="n"/>
      <c r="K5" s="6" t="n"/>
    </row>
    <row r="6">
      <c r="B6" s="2">
        <f>IF(A6="","",IFERROR(INDEX('판매구성'!$B$2:$B$501,MATCH(A6,'판매구성'!$A$2:$A$501,0)),""))</f>
        <v/>
      </c>
      <c r="C6" s="4">
        <f>IF(A6="","",IFERROR(INDEX('판매구성'!$D$2:$D$501,MATCH(A6,'판매구성'!$A$2:$A$501,0)),""))</f>
        <v/>
      </c>
      <c r="D6" s="6" t="n"/>
      <c r="E6" s="6" t="n"/>
      <c r="F6" s="6" t="n"/>
      <c r="G6" s="6" t="n"/>
      <c r="H6" s="6" t="n"/>
      <c r="I6" s="6" t="n"/>
      <c r="J6" s="6" t="n"/>
      <c r="K6" s="6" t="n"/>
    </row>
    <row r="7">
      <c r="B7" s="2">
        <f>IF(A7="","",IFERROR(INDEX('판매구성'!$B$2:$B$501,MATCH(A7,'판매구성'!$A$2:$A$501,0)),""))</f>
        <v/>
      </c>
      <c r="C7" s="4">
        <f>IF(A7="","",IFERROR(INDEX('판매구성'!$D$2:$D$501,MATCH(A7,'판매구성'!$A$2:$A$501,0)),""))</f>
        <v/>
      </c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B8" s="2">
        <f>IF(A8="","",IFERROR(INDEX('판매구성'!$B$2:$B$501,MATCH(A8,'판매구성'!$A$2:$A$501,0)),""))</f>
        <v/>
      </c>
      <c r="C8" s="4">
        <f>IF(A8="","",IFERROR(INDEX('판매구성'!$D$2:$D$501,MATCH(A8,'판매구성'!$A$2:$A$501,0)),""))</f>
        <v/>
      </c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B9" s="2">
        <f>IF(A9="","",IFERROR(INDEX('판매구성'!$B$2:$B$501,MATCH(A9,'판매구성'!$A$2:$A$501,0)),""))</f>
        <v/>
      </c>
      <c r="C9" s="4">
        <f>IF(A9="","",IFERROR(INDEX('판매구성'!$D$2:$D$501,MATCH(A9,'판매구성'!$A$2:$A$501,0)),""))</f>
        <v/>
      </c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B10" s="2">
        <f>IF(A10="","",IFERROR(INDEX('판매구성'!$B$2:$B$501,MATCH(A10,'판매구성'!$A$2:$A$501,0)),""))</f>
        <v/>
      </c>
      <c r="C10" s="4">
        <f>IF(A10="","",IFERROR(INDEX('판매구성'!$D$2:$D$501,MATCH(A10,'판매구성'!$A$2:$A$501,0)),""))</f>
        <v/>
      </c>
      <c r="D10" s="6" t="n"/>
      <c r="E10" s="6" t="n"/>
      <c r="F10" s="6" t="n"/>
      <c r="G10" s="6" t="n"/>
      <c r="H10" s="6" t="n"/>
      <c r="I10" s="6" t="n"/>
      <c r="J10" s="6" t="n"/>
      <c r="K10" s="6" t="n"/>
    </row>
    <row r="11">
      <c r="B11" s="2">
        <f>IF(A11="","",IFERROR(INDEX('판매구성'!$B$2:$B$501,MATCH(A11,'판매구성'!$A$2:$A$501,0)),""))</f>
        <v/>
      </c>
      <c r="C11" s="4">
        <f>IF(A11="","",IFERROR(INDEX('판매구성'!$D$2:$D$501,MATCH(A11,'판매구성'!$A$2:$A$501,0)),""))</f>
        <v/>
      </c>
      <c r="D11" s="6" t="n"/>
      <c r="E11" s="6" t="n"/>
      <c r="F11" s="6" t="n"/>
      <c r="G11" s="6" t="n"/>
      <c r="H11" s="6" t="n"/>
      <c r="I11" s="6" t="n"/>
      <c r="J11" s="6" t="n"/>
      <c r="K11" s="6" t="n"/>
    </row>
    <row r="12">
      <c r="B12" s="2">
        <f>IF(A12="","",IFERROR(INDEX('판매구성'!$B$2:$B$501,MATCH(A12,'판매구성'!$A$2:$A$501,0)),""))</f>
        <v/>
      </c>
      <c r="C12" s="4">
        <f>IF(A12="","",IFERROR(INDEX('판매구성'!$D$2:$D$501,MATCH(A12,'판매구성'!$A$2:$A$501,0)),""))</f>
        <v/>
      </c>
      <c r="D12" s="6" t="n"/>
      <c r="E12" s="6" t="n"/>
      <c r="F12" s="6" t="n"/>
      <c r="G12" s="6" t="n"/>
      <c r="H12" s="6" t="n"/>
      <c r="I12" s="6" t="n"/>
      <c r="J12" s="6" t="n"/>
      <c r="K12" s="6" t="n"/>
    </row>
    <row r="13">
      <c r="B13" s="2">
        <f>IF(A13="","",IFERROR(INDEX('판매구성'!$B$2:$B$501,MATCH(A13,'판매구성'!$A$2:$A$501,0)),""))</f>
        <v/>
      </c>
      <c r="C13" s="4">
        <f>IF(A13="","",IFERROR(INDEX('판매구성'!$D$2:$D$501,MATCH(A13,'판매구성'!$A$2:$A$501,0)),""))</f>
        <v/>
      </c>
      <c r="D13" s="6" t="n"/>
      <c r="E13" s="6" t="n"/>
      <c r="F13" s="6" t="n"/>
      <c r="G13" s="6" t="n"/>
      <c r="H13" s="6" t="n"/>
      <c r="I13" s="6" t="n"/>
      <c r="J13" s="6" t="n"/>
      <c r="K13" s="6" t="n"/>
    </row>
    <row r="14">
      <c r="B14" s="2">
        <f>IF(A14="","",IFERROR(INDEX('판매구성'!$B$2:$B$501,MATCH(A14,'판매구성'!$A$2:$A$501,0)),""))</f>
        <v/>
      </c>
      <c r="C14" s="4">
        <f>IF(A14="","",IFERROR(INDEX('판매구성'!$D$2:$D$501,MATCH(A14,'판매구성'!$A$2:$A$501,0)),""))</f>
        <v/>
      </c>
      <c r="D14" s="6" t="n"/>
      <c r="E14" s="6" t="n"/>
      <c r="F14" s="6" t="n"/>
      <c r="G14" s="6" t="n"/>
      <c r="H14" s="6" t="n"/>
      <c r="I14" s="6" t="n"/>
      <c r="J14" s="6" t="n"/>
      <c r="K14" s="6" t="n"/>
    </row>
    <row r="15">
      <c r="B15" s="2">
        <f>IF(A15="","",IFERROR(INDEX('판매구성'!$B$2:$B$501,MATCH(A15,'판매구성'!$A$2:$A$501,0)),""))</f>
        <v/>
      </c>
      <c r="C15" s="4">
        <f>IF(A15="","",IFERROR(INDEX('판매구성'!$D$2:$D$501,MATCH(A15,'판매구성'!$A$2:$A$501,0)),""))</f>
        <v/>
      </c>
      <c r="D15" s="6" t="n"/>
      <c r="E15" s="6" t="n"/>
      <c r="F15" s="6" t="n"/>
      <c r="G15" s="6" t="n"/>
      <c r="H15" s="6" t="n"/>
      <c r="I15" s="6" t="n"/>
      <c r="J15" s="6" t="n"/>
      <c r="K15" s="6" t="n"/>
    </row>
    <row r="16">
      <c r="B16" s="2">
        <f>IF(A16="","",IFERROR(INDEX('판매구성'!$B$2:$B$501,MATCH(A16,'판매구성'!$A$2:$A$501,0)),""))</f>
        <v/>
      </c>
      <c r="C16" s="4">
        <f>IF(A16="","",IFERROR(INDEX('판매구성'!$D$2:$D$501,MATCH(A16,'판매구성'!$A$2:$A$501,0)),""))</f>
        <v/>
      </c>
      <c r="D16" s="6" t="n"/>
      <c r="E16" s="6" t="n"/>
      <c r="F16" s="6" t="n"/>
      <c r="G16" s="6" t="n"/>
      <c r="H16" s="6" t="n"/>
      <c r="I16" s="6" t="n"/>
      <c r="J16" s="6" t="n"/>
      <c r="K16" s="6" t="n"/>
    </row>
    <row r="17">
      <c r="B17" s="2">
        <f>IF(A17="","",IFERROR(INDEX('판매구성'!$B$2:$B$501,MATCH(A17,'판매구성'!$A$2:$A$501,0)),""))</f>
        <v/>
      </c>
      <c r="C17" s="4">
        <f>IF(A17="","",IFERROR(INDEX('판매구성'!$D$2:$D$501,MATCH(A17,'판매구성'!$A$2:$A$501,0)),""))</f>
        <v/>
      </c>
      <c r="D17" s="6" t="n"/>
      <c r="E17" s="6" t="n"/>
      <c r="F17" s="6" t="n"/>
      <c r="G17" s="6" t="n"/>
      <c r="H17" s="6" t="n"/>
      <c r="I17" s="6" t="n"/>
      <c r="J17" s="6" t="n"/>
      <c r="K17" s="6" t="n"/>
    </row>
    <row r="18">
      <c r="B18" s="2">
        <f>IF(A18="","",IFERROR(INDEX('판매구성'!$B$2:$B$501,MATCH(A18,'판매구성'!$A$2:$A$501,0)),""))</f>
        <v/>
      </c>
      <c r="C18" s="4">
        <f>IF(A18="","",IFERROR(INDEX('판매구성'!$D$2:$D$501,MATCH(A18,'판매구성'!$A$2:$A$501,0)),""))</f>
        <v/>
      </c>
      <c r="D18" s="6" t="n"/>
      <c r="E18" s="6" t="n"/>
      <c r="F18" s="6" t="n"/>
      <c r="G18" s="6" t="n"/>
      <c r="H18" s="6" t="n"/>
      <c r="I18" s="6" t="n"/>
      <c r="J18" s="6" t="n"/>
      <c r="K18" s="6" t="n"/>
    </row>
    <row r="19">
      <c r="B19" s="2">
        <f>IF(A19="","",IFERROR(INDEX('판매구성'!$B$2:$B$501,MATCH(A19,'판매구성'!$A$2:$A$501,0)),""))</f>
        <v/>
      </c>
      <c r="C19" s="4">
        <f>IF(A19="","",IFERROR(INDEX('판매구성'!$D$2:$D$501,MATCH(A19,'판매구성'!$A$2:$A$501,0)),""))</f>
        <v/>
      </c>
      <c r="D19" s="6" t="n"/>
      <c r="E19" s="6" t="n"/>
      <c r="F19" s="6" t="n"/>
      <c r="G19" s="6" t="n"/>
      <c r="H19" s="6" t="n"/>
      <c r="I19" s="6" t="n"/>
      <c r="J19" s="6" t="n"/>
      <c r="K19" s="6" t="n"/>
    </row>
    <row r="20">
      <c r="B20" s="2">
        <f>IF(A20="","",IFERROR(INDEX('판매구성'!$B$2:$B$501,MATCH(A20,'판매구성'!$A$2:$A$501,0)),""))</f>
        <v/>
      </c>
      <c r="C20" s="4">
        <f>IF(A20="","",IFERROR(INDEX('판매구성'!$D$2:$D$501,MATCH(A20,'판매구성'!$A$2:$A$501,0)),""))</f>
        <v/>
      </c>
      <c r="D20" s="6" t="n"/>
      <c r="E20" s="6" t="n"/>
      <c r="F20" s="6" t="n"/>
      <c r="G20" s="6" t="n"/>
      <c r="H20" s="6" t="n"/>
      <c r="I20" s="6" t="n"/>
      <c r="J20" s="6" t="n"/>
      <c r="K20" s="6" t="n"/>
    </row>
    <row r="21">
      <c r="B21" s="2">
        <f>IF(A21="","",IFERROR(INDEX('판매구성'!$B$2:$B$501,MATCH(A21,'판매구성'!$A$2:$A$501,0)),""))</f>
        <v/>
      </c>
      <c r="C21" s="4">
        <f>IF(A21="","",IFERROR(INDEX('판매구성'!$D$2:$D$501,MATCH(A21,'판매구성'!$A$2:$A$501,0)),""))</f>
        <v/>
      </c>
      <c r="D21" s="6" t="n"/>
      <c r="E21" s="6" t="n"/>
      <c r="F21" s="6" t="n"/>
      <c r="G21" s="6" t="n"/>
      <c r="H21" s="6" t="n"/>
      <c r="I21" s="6" t="n"/>
      <c r="J21" s="6" t="n"/>
      <c r="K21" s="6" t="n"/>
    </row>
    <row r="22">
      <c r="B22" s="2">
        <f>IF(A22="","",IFERROR(INDEX('판매구성'!$B$2:$B$501,MATCH(A22,'판매구성'!$A$2:$A$501,0)),""))</f>
        <v/>
      </c>
      <c r="C22" s="4">
        <f>IF(A22="","",IFERROR(INDEX('판매구성'!$D$2:$D$501,MATCH(A22,'판매구성'!$A$2:$A$501,0)),""))</f>
        <v/>
      </c>
      <c r="D22" s="6" t="n"/>
      <c r="E22" s="6" t="n"/>
      <c r="F22" s="6" t="n"/>
      <c r="G22" s="6" t="n"/>
      <c r="H22" s="6" t="n"/>
      <c r="I22" s="6" t="n"/>
      <c r="J22" s="6" t="n"/>
      <c r="K22" s="6" t="n"/>
    </row>
    <row r="23">
      <c r="B23" s="2">
        <f>IF(A23="","",IFERROR(INDEX('판매구성'!$B$2:$B$501,MATCH(A23,'판매구성'!$A$2:$A$501,0)),""))</f>
        <v/>
      </c>
      <c r="C23" s="4">
        <f>IF(A23="","",IFERROR(INDEX('판매구성'!$D$2:$D$501,MATCH(A23,'판매구성'!$A$2:$A$501,0)),""))</f>
        <v/>
      </c>
      <c r="D23" s="6" t="n"/>
      <c r="E23" s="6" t="n"/>
      <c r="F23" s="6" t="n"/>
      <c r="G23" s="6" t="n"/>
      <c r="H23" s="6" t="n"/>
      <c r="I23" s="6" t="n"/>
      <c r="J23" s="6" t="n"/>
      <c r="K23" s="6" t="n"/>
    </row>
    <row r="24">
      <c r="B24" s="2">
        <f>IF(A24="","",IFERROR(INDEX('판매구성'!$B$2:$B$501,MATCH(A24,'판매구성'!$A$2:$A$501,0)),""))</f>
        <v/>
      </c>
      <c r="C24" s="4">
        <f>IF(A24="","",IFERROR(INDEX('판매구성'!$D$2:$D$501,MATCH(A24,'판매구성'!$A$2:$A$501,0)),""))</f>
        <v/>
      </c>
      <c r="D24" s="6" t="n"/>
      <c r="E24" s="6" t="n"/>
      <c r="F24" s="6" t="n"/>
      <c r="G24" s="6" t="n"/>
      <c r="H24" s="6" t="n"/>
      <c r="I24" s="6" t="n"/>
      <c r="J24" s="6" t="n"/>
      <c r="K24" s="6" t="n"/>
    </row>
    <row r="25">
      <c r="B25" s="2">
        <f>IF(A25="","",IFERROR(INDEX('판매구성'!$B$2:$B$501,MATCH(A25,'판매구성'!$A$2:$A$501,0)),""))</f>
        <v/>
      </c>
      <c r="C25" s="4">
        <f>IF(A25="","",IFERROR(INDEX('판매구성'!$D$2:$D$501,MATCH(A25,'판매구성'!$A$2:$A$501,0)),""))</f>
        <v/>
      </c>
      <c r="D25" s="6" t="n"/>
      <c r="E25" s="6" t="n"/>
      <c r="F25" s="6" t="n"/>
      <c r="G25" s="6" t="n"/>
      <c r="H25" s="6" t="n"/>
      <c r="I25" s="6" t="n"/>
      <c r="J25" s="6" t="n"/>
      <c r="K25" s="6" t="n"/>
    </row>
    <row r="26">
      <c r="B26" s="2">
        <f>IF(A26="","",IFERROR(INDEX('판매구성'!$B$2:$B$501,MATCH(A26,'판매구성'!$A$2:$A$501,0)),""))</f>
        <v/>
      </c>
      <c r="C26" s="4">
        <f>IF(A26="","",IFERROR(INDEX('판매구성'!$D$2:$D$501,MATCH(A26,'판매구성'!$A$2:$A$501,0)),""))</f>
        <v/>
      </c>
      <c r="D26" s="6" t="n"/>
      <c r="E26" s="6" t="n"/>
      <c r="F26" s="6" t="n"/>
      <c r="G26" s="6" t="n"/>
      <c r="H26" s="6" t="n"/>
      <c r="I26" s="6" t="n"/>
      <c r="J26" s="6" t="n"/>
      <c r="K26" s="6" t="n"/>
    </row>
    <row r="27">
      <c r="B27" s="2">
        <f>IF(A27="","",IFERROR(INDEX('판매구성'!$B$2:$B$501,MATCH(A27,'판매구성'!$A$2:$A$501,0)),""))</f>
        <v/>
      </c>
      <c r="C27" s="4">
        <f>IF(A27="","",IFERROR(INDEX('판매구성'!$D$2:$D$501,MATCH(A27,'판매구성'!$A$2:$A$501,0)),""))</f>
        <v/>
      </c>
      <c r="D27" s="6" t="n"/>
      <c r="E27" s="6" t="n"/>
      <c r="F27" s="6" t="n"/>
      <c r="G27" s="6" t="n"/>
      <c r="H27" s="6" t="n"/>
      <c r="I27" s="6" t="n"/>
      <c r="J27" s="6" t="n"/>
      <c r="K27" s="6" t="n"/>
    </row>
    <row r="28">
      <c r="B28" s="2">
        <f>IF(A28="","",IFERROR(INDEX('판매구성'!$B$2:$B$501,MATCH(A28,'판매구성'!$A$2:$A$501,0)),""))</f>
        <v/>
      </c>
      <c r="C28" s="4">
        <f>IF(A28="","",IFERROR(INDEX('판매구성'!$D$2:$D$501,MATCH(A28,'판매구성'!$A$2:$A$501,0)),""))</f>
        <v/>
      </c>
      <c r="D28" s="6" t="n"/>
      <c r="E28" s="6" t="n"/>
      <c r="F28" s="6" t="n"/>
      <c r="G28" s="6" t="n"/>
      <c r="H28" s="6" t="n"/>
      <c r="I28" s="6" t="n"/>
      <c r="J28" s="6" t="n"/>
      <c r="K28" s="6" t="n"/>
    </row>
    <row r="29">
      <c r="B29" s="2">
        <f>IF(A29="","",IFERROR(INDEX('판매구성'!$B$2:$B$501,MATCH(A29,'판매구성'!$A$2:$A$501,0)),""))</f>
        <v/>
      </c>
      <c r="C29" s="4">
        <f>IF(A29="","",IFERROR(INDEX('판매구성'!$D$2:$D$501,MATCH(A29,'판매구성'!$A$2:$A$501,0)),""))</f>
        <v/>
      </c>
      <c r="D29" s="6" t="n"/>
      <c r="E29" s="6" t="n"/>
      <c r="F29" s="6" t="n"/>
      <c r="G29" s="6" t="n"/>
      <c r="H29" s="6" t="n"/>
      <c r="I29" s="6" t="n"/>
      <c r="J29" s="6" t="n"/>
      <c r="K29" s="6" t="n"/>
    </row>
    <row r="30">
      <c r="B30" s="2">
        <f>IF(A30="","",IFERROR(INDEX('판매구성'!$B$2:$B$501,MATCH(A30,'판매구성'!$A$2:$A$501,0)),""))</f>
        <v/>
      </c>
      <c r="C30" s="4">
        <f>IF(A30="","",IFERROR(INDEX('판매구성'!$D$2:$D$501,MATCH(A30,'판매구성'!$A$2:$A$501,0)),""))</f>
        <v/>
      </c>
      <c r="D30" s="6" t="n"/>
      <c r="E30" s="6" t="n"/>
      <c r="F30" s="6" t="n"/>
      <c r="G30" s="6" t="n"/>
      <c r="H30" s="6" t="n"/>
      <c r="I30" s="6" t="n"/>
      <c r="J30" s="6" t="n"/>
      <c r="K30" s="6" t="n"/>
    </row>
    <row r="31">
      <c r="B31" s="2">
        <f>IF(A31="","",IFERROR(INDEX('판매구성'!$B$2:$B$501,MATCH(A31,'판매구성'!$A$2:$A$501,0)),""))</f>
        <v/>
      </c>
      <c r="C31" s="4">
        <f>IF(A31="","",IFERROR(INDEX('판매구성'!$D$2:$D$501,MATCH(A31,'판매구성'!$A$2:$A$501,0)),""))</f>
        <v/>
      </c>
      <c r="D31" s="6" t="n"/>
      <c r="E31" s="6" t="n"/>
      <c r="F31" s="6" t="n"/>
      <c r="G31" s="6" t="n"/>
      <c r="H31" s="6" t="n"/>
      <c r="I31" s="6" t="n"/>
      <c r="J31" s="6" t="n"/>
      <c r="K31" s="6" t="n"/>
    </row>
    <row r="32">
      <c r="B32" s="2">
        <f>IF(A32="","",IFERROR(INDEX('판매구성'!$B$2:$B$501,MATCH(A32,'판매구성'!$A$2:$A$501,0)),""))</f>
        <v/>
      </c>
      <c r="C32" s="4">
        <f>IF(A32="","",IFERROR(INDEX('판매구성'!$D$2:$D$501,MATCH(A32,'판매구성'!$A$2:$A$501,0)),""))</f>
        <v/>
      </c>
      <c r="D32" s="6" t="n"/>
      <c r="E32" s="6" t="n"/>
      <c r="F32" s="6" t="n"/>
      <c r="G32" s="6" t="n"/>
      <c r="H32" s="6" t="n"/>
      <c r="I32" s="6" t="n"/>
      <c r="J32" s="6" t="n"/>
      <c r="K32" s="6" t="n"/>
    </row>
    <row r="33">
      <c r="B33" s="2">
        <f>IF(A33="","",IFERROR(INDEX('판매구성'!$B$2:$B$501,MATCH(A33,'판매구성'!$A$2:$A$501,0)),""))</f>
        <v/>
      </c>
      <c r="C33" s="4">
        <f>IF(A33="","",IFERROR(INDEX('판매구성'!$D$2:$D$501,MATCH(A33,'판매구성'!$A$2:$A$501,0)),""))</f>
        <v/>
      </c>
      <c r="D33" s="6" t="n"/>
      <c r="E33" s="6" t="n"/>
      <c r="F33" s="6" t="n"/>
      <c r="G33" s="6" t="n"/>
      <c r="H33" s="6" t="n"/>
      <c r="I33" s="6" t="n"/>
      <c r="J33" s="6" t="n"/>
      <c r="K33" s="6" t="n"/>
    </row>
    <row r="34">
      <c r="B34" s="2">
        <f>IF(A34="","",IFERROR(INDEX('판매구성'!$B$2:$B$501,MATCH(A34,'판매구성'!$A$2:$A$501,0)),""))</f>
        <v/>
      </c>
      <c r="C34" s="4">
        <f>IF(A34="","",IFERROR(INDEX('판매구성'!$D$2:$D$501,MATCH(A34,'판매구성'!$A$2:$A$501,0)),""))</f>
        <v/>
      </c>
      <c r="D34" s="6" t="n"/>
      <c r="E34" s="6" t="n"/>
      <c r="F34" s="6" t="n"/>
      <c r="G34" s="6" t="n"/>
      <c r="H34" s="6" t="n"/>
      <c r="I34" s="6" t="n"/>
      <c r="J34" s="6" t="n"/>
      <c r="K34" s="6" t="n"/>
    </row>
    <row r="35">
      <c r="B35" s="2">
        <f>IF(A35="","",IFERROR(INDEX('판매구성'!$B$2:$B$501,MATCH(A35,'판매구성'!$A$2:$A$501,0)),""))</f>
        <v/>
      </c>
      <c r="C35" s="4">
        <f>IF(A35="","",IFERROR(INDEX('판매구성'!$D$2:$D$501,MATCH(A35,'판매구성'!$A$2:$A$501,0)),""))</f>
        <v/>
      </c>
      <c r="D35" s="6" t="n"/>
      <c r="E35" s="6" t="n"/>
      <c r="F35" s="6" t="n"/>
      <c r="G35" s="6" t="n"/>
      <c r="H35" s="6" t="n"/>
      <c r="I35" s="6" t="n"/>
      <c r="J35" s="6" t="n"/>
      <c r="K35" s="6" t="n"/>
    </row>
    <row r="36">
      <c r="B36" s="2">
        <f>IF(A36="","",IFERROR(INDEX('판매구성'!$B$2:$B$501,MATCH(A36,'판매구성'!$A$2:$A$501,0)),""))</f>
        <v/>
      </c>
      <c r="C36" s="4">
        <f>IF(A36="","",IFERROR(INDEX('판매구성'!$D$2:$D$501,MATCH(A36,'판매구성'!$A$2:$A$501,0)),""))</f>
        <v/>
      </c>
      <c r="D36" s="6" t="n"/>
      <c r="E36" s="6" t="n"/>
      <c r="F36" s="6" t="n"/>
      <c r="G36" s="6" t="n"/>
      <c r="H36" s="6" t="n"/>
      <c r="I36" s="6" t="n"/>
      <c r="J36" s="6" t="n"/>
      <c r="K36" s="6" t="n"/>
    </row>
    <row r="37">
      <c r="B37" s="2">
        <f>IF(A37="","",IFERROR(INDEX('판매구성'!$B$2:$B$501,MATCH(A37,'판매구성'!$A$2:$A$501,0)),""))</f>
        <v/>
      </c>
      <c r="C37" s="4">
        <f>IF(A37="","",IFERROR(INDEX('판매구성'!$D$2:$D$501,MATCH(A37,'판매구성'!$A$2:$A$501,0)),""))</f>
        <v/>
      </c>
      <c r="D37" s="6" t="n"/>
      <c r="E37" s="6" t="n"/>
      <c r="F37" s="6" t="n"/>
      <c r="G37" s="6" t="n"/>
      <c r="H37" s="6" t="n"/>
      <c r="I37" s="6" t="n"/>
      <c r="J37" s="6" t="n"/>
      <c r="K37" s="6" t="n"/>
    </row>
    <row r="38">
      <c r="B38" s="2">
        <f>IF(A38="","",IFERROR(INDEX('판매구성'!$B$2:$B$501,MATCH(A38,'판매구성'!$A$2:$A$501,0)),""))</f>
        <v/>
      </c>
      <c r="C38" s="4">
        <f>IF(A38="","",IFERROR(INDEX('판매구성'!$D$2:$D$501,MATCH(A38,'판매구성'!$A$2:$A$501,0)),""))</f>
        <v/>
      </c>
      <c r="D38" s="6" t="n"/>
      <c r="E38" s="6" t="n"/>
      <c r="F38" s="6" t="n"/>
      <c r="G38" s="6" t="n"/>
      <c r="H38" s="6" t="n"/>
      <c r="I38" s="6" t="n"/>
      <c r="J38" s="6" t="n"/>
      <c r="K38" s="6" t="n"/>
    </row>
    <row r="39">
      <c r="B39" s="2">
        <f>IF(A39="","",IFERROR(INDEX('판매구성'!$B$2:$B$501,MATCH(A39,'판매구성'!$A$2:$A$501,0)),""))</f>
        <v/>
      </c>
      <c r="C39" s="4">
        <f>IF(A39="","",IFERROR(INDEX('판매구성'!$D$2:$D$501,MATCH(A39,'판매구성'!$A$2:$A$501,0)),""))</f>
        <v/>
      </c>
      <c r="D39" s="6" t="n"/>
      <c r="E39" s="6" t="n"/>
      <c r="F39" s="6" t="n"/>
      <c r="G39" s="6" t="n"/>
      <c r="H39" s="6" t="n"/>
      <c r="I39" s="6" t="n"/>
      <c r="J39" s="6" t="n"/>
      <c r="K39" s="6" t="n"/>
    </row>
    <row r="40">
      <c r="B40" s="2">
        <f>IF(A40="","",IFERROR(INDEX('판매구성'!$B$2:$B$501,MATCH(A40,'판매구성'!$A$2:$A$501,0)),""))</f>
        <v/>
      </c>
      <c r="C40" s="4">
        <f>IF(A40="","",IFERROR(INDEX('판매구성'!$D$2:$D$501,MATCH(A40,'판매구성'!$A$2:$A$501,0)),""))</f>
        <v/>
      </c>
      <c r="D40" s="6" t="n"/>
      <c r="E40" s="6" t="n"/>
      <c r="F40" s="6" t="n"/>
      <c r="G40" s="6" t="n"/>
      <c r="H40" s="6" t="n"/>
      <c r="I40" s="6" t="n"/>
      <c r="J40" s="6" t="n"/>
      <c r="K40" s="6" t="n"/>
    </row>
    <row r="41">
      <c r="B41" s="2">
        <f>IF(A41="","",IFERROR(INDEX('판매구성'!$B$2:$B$501,MATCH(A41,'판매구성'!$A$2:$A$501,0)),""))</f>
        <v/>
      </c>
      <c r="C41" s="4">
        <f>IF(A41="","",IFERROR(INDEX('판매구성'!$D$2:$D$501,MATCH(A41,'판매구성'!$A$2:$A$501,0)),""))</f>
        <v/>
      </c>
      <c r="D41" s="6" t="n"/>
      <c r="E41" s="6" t="n"/>
      <c r="F41" s="6" t="n"/>
      <c r="G41" s="6" t="n"/>
      <c r="H41" s="6" t="n"/>
      <c r="I41" s="6" t="n"/>
      <c r="J41" s="6" t="n"/>
      <c r="K41" s="6" t="n"/>
    </row>
    <row r="42">
      <c r="B42" s="2">
        <f>IF(A42="","",IFERROR(INDEX('판매구성'!$B$2:$B$501,MATCH(A42,'판매구성'!$A$2:$A$501,0)),""))</f>
        <v/>
      </c>
      <c r="C42" s="4">
        <f>IF(A42="","",IFERROR(INDEX('판매구성'!$D$2:$D$501,MATCH(A42,'판매구성'!$A$2:$A$501,0)),""))</f>
        <v/>
      </c>
      <c r="D42" s="6" t="n"/>
      <c r="E42" s="6" t="n"/>
      <c r="F42" s="6" t="n"/>
      <c r="G42" s="6" t="n"/>
      <c r="H42" s="6" t="n"/>
      <c r="I42" s="6" t="n"/>
      <c r="J42" s="6" t="n"/>
      <c r="K42" s="6" t="n"/>
    </row>
    <row r="43">
      <c r="B43" s="2">
        <f>IF(A43="","",IFERROR(INDEX('판매구성'!$B$2:$B$501,MATCH(A43,'판매구성'!$A$2:$A$501,0)),""))</f>
        <v/>
      </c>
      <c r="C43" s="4">
        <f>IF(A43="","",IFERROR(INDEX('판매구성'!$D$2:$D$501,MATCH(A43,'판매구성'!$A$2:$A$501,0)),""))</f>
        <v/>
      </c>
      <c r="D43" s="6" t="n"/>
      <c r="E43" s="6" t="n"/>
      <c r="F43" s="6" t="n"/>
      <c r="G43" s="6" t="n"/>
      <c r="H43" s="6" t="n"/>
      <c r="I43" s="6" t="n"/>
      <c r="J43" s="6" t="n"/>
      <c r="K43" s="6" t="n"/>
    </row>
    <row r="44">
      <c r="B44" s="2">
        <f>IF(A44="","",IFERROR(INDEX('판매구성'!$B$2:$B$501,MATCH(A44,'판매구성'!$A$2:$A$501,0)),""))</f>
        <v/>
      </c>
      <c r="C44" s="4">
        <f>IF(A44="","",IFERROR(INDEX('판매구성'!$D$2:$D$501,MATCH(A44,'판매구성'!$A$2:$A$501,0)),""))</f>
        <v/>
      </c>
      <c r="D44" s="6" t="n"/>
      <c r="E44" s="6" t="n"/>
      <c r="F44" s="6" t="n"/>
      <c r="G44" s="6" t="n"/>
      <c r="H44" s="6" t="n"/>
      <c r="I44" s="6" t="n"/>
      <c r="J44" s="6" t="n"/>
      <c r="K44" s="6" t="n"/>
    </row>
    <row r="45">
      <c r="B45" s="2">
        <f>IF(A45="","",IFERROR(INDEX('판매구성'!$B$2:$B$501,MATCH(A45,'판매구성'!$A$2:$A$501,0)),""))</f>
        <v/>
      </c>
      <c r="C45" s="4">
        <f>IF(A45="","",IFERROR(INDEX('판매구성'!$D$2:$D$501,MATCH(A45,'판매구성'!$A$2:$A$501,0)),""))</f>
        <v/>
      </c>
      <c r="D45" s="6" t="n"/>
      <c r="E45" s="6" t="n"/>
      <c r="F45" s="6" t="n"/>
      <c r="G45" s="6" t="n"/>
      <c r="H45" s="6" t="n"/>
      <c r="I45" s="6" t="n"/>
      <c r="J45" s="6" t="n"/>
      <c r="K45" s="6" t="n"/>
    </row>
    <row r="46">
      <c r="B46" s="2">
        <f>IF(A46="","",IFERROR(INDEX('판매구성'!$B$2:$B$501,MATCH(A46,'판매구성'!$A$2:$A$501,0)),""))</f>
        <v/>
      </c>
      <c r="C46" s="4">
        <f>IF(A46="","",IFERROR(INDEX('판매구성'!$D$2:$D$501,MATCH(A46,'판매구성'!$A$2:$A$501,0)),""))</f>
        <v/>
      </c>
      <c r="D46" s="6" t="n"/>
      <c r="E46" s="6" t="n"/>
      <c r="F46" s="6" t="n"/>
      <c r="G46" s="6" t="n"/>
      <c r="H46" s="6" t="n"/>
      <c r="I46" s="6" t="n"/>
      <c r="J46" s="6" t="n"/>
      <c r="K46" s="6" t="n"/>
    </row>
    <row r="47">
      <c r="B47" s="2">
        <f>IF(A47="","",IFERROR(INDEX('판매구성'!$B$2:$B$501,MATCH(A47,'판매구성'!$A$2:$A$501,0)),""))</f>
        <v/>
      </c>
      <c r="C47" s="4">
        <f>IF(A47="","",IFERROR(INDEX('판매구성'!$D$2:$D$501,MATCH(A47,'판매구성'!$A$2:$A$501,0)),""))</f>
        <v/>
      </c>
      <c r="D47" s="6" t="n"/>
      <c r="E47" s="6" t="n"/>
      <c r="F47" s="6" t="n"/>
      <c r="G47" s="6" t="n"/>
      <c r="H47" s="6" t="n"/>
      <c r="I47" s="6" t="n"/>
      <c r="J47" s="6" t="n"/>
      <c r="K47" s="6" t="n"/>
    </row>
    <row r="48">
      <c r="B48" s="2">
        <f>IF(A48="","",IFERROR(INDEX('판매구성'!$B$2:$B$501,MATCH(A48,'판매구성'!$A$2:$A$501,0)),""))</f>
        <v/>
      </c>
      <c r="C48" s="4">
        <f>IF(A48="","",IFERROR(INDEX('판매구성'!$D$2:$D$501,MATCH(A48,'판매구성'!$A$2:$A$501,0)),""))</f>
        <v/>
      </c>
      <c r="D48" s="6" t="n"/>
      <c r="E48" s="6" t="n"/>
      <c r="F48" s="6" t="n"/>
      <c r="G48" s="6" t="n"/>
      <c r="H48" s="6" t="n"/>
      <c r="I48" s="6" t="n"/>
      <c r="J48" s="6" t="n"/>
      <c r="K48" s="6" t="n"/>
    </row>
    <row r="49">
      <c r="B49" s="2">
        <f>IF(A49="","",IFERROR(INDEX('판매구성'!$B$2:$B$501,MATCH(A49,'판매구성'!$A$2:$A$501,0)),""))</f>
        <v/>
      </c>
      <c r="C49" s="4">
        <f>IF(A49="","",IFERROR(INDEX('판매구성'!$D$2:$D$501,MATCH(A49,'판매구성'!$A$2:$A$501,0)),""))</f>
        <v/>
      </c>
      <c r="D49" s="6" t="n"/>
      <c r="E49" s="6" t="n"/>
      <c r="F49" s="6" t="n"/>
      <c r="G49" s="6" t="n"/>
      <c r="H49" s="6" t="n"/>
      <c r="I49" s="6" t="n"/>
      <c r="J49" s="6" t="n"/>
      <c r="K49" s="6" t="n"/>
    </row>
    <row r="50">
      <c r="B50" s="2">
        <f>IF(A50="","",IFERROR(INDEX('판매구성'!$B$2:$B$501,MATCH(A50,'판매구성'!$A$2:$A$501,0)),""))</f>
        <v/>
      </c>
      <c r="C50" s="4">
        <f>IF(A50="","",IFERROR(INDEX('판매구성'!$D$2:$D$501,MATCH(A50,'판매구성'!$A$2:$A$501,0)),""))</f>
        <v/>
      </c>
      <c r="D50" s="6" t="n"/>
      <c r="E50" s="6" t="n"/>
      <c r="F50" s="6" t="n"/>
      <c r="G50" s="6" t="n"/>
      <c r="H50" s="6" t="n"/>
      <c r="I50" s="6" t="n"/>
      <c r="J50" s="6" t="n"/>
      <c r="K50" s="6" t="n"/>
    </row>
    <row r="51">
      <c r="B51" s="2">
        <f>IF(A51="","",IFERROR(INDEX('판매구성'!$B$2:$B$501,MATCH(A51,'판매구성'!$A$2:$A$501,0)),""))</f>
        <v/>
      </c>
      <c r="C51" s="4">
        <f>IF(A51="","",IFERROR(INDEX('판매구성'!$D$2:$D$501,MATCH(A51,'판매구성'!$A$2:$A$501,0)),""))</f>
        <v/>
      </c>
      <c r="D51" s="6" t="n"/>
      <c r="E51" s="6" t="n"/>
      <c r="F51" s="6" t="n"/>
      <c r="G51" s="6" t="n"/>
      <c r="H51" s="6" t="n"/>
      <c r="I51" s="6" t="n"/>
      <c r="J51" s="6" t="n"/>
      <c r="K51" s="6" t="n"/>
    </row>
    <row r="52">
      <c r="B52" s="2">
        <f>IF(A52="","",IFERROR(INDEX('판매구성'!$B$2:$B$501,MATCH(A52,'판매구성'!$A$2:$A$501,0)),""))</f>
        <v/>
      </c>
      <c r="C52" s="4">
        <f>IF(A52="","",IFERROR(INDEX('판매구성'!$D$2:$D$501,MATCH(A52,'판매구성'!$A$2:$A$501,0)),""))</f>
        <v/>
      </c>
      <c r="D52" s="6" t="n"/>
      <c r="E52" s="6" t="n"/>
      <c r="F52" s="6" t="n"/>
      <c r="G52" s="6" t="n"/>
      <c r="H52" s="6" t="n"/>
      <c r="I52" s="6" t="n"/>
      <c r="J52" s="6" t="n"/>
      <c r="K52" s="6" t="n"/>
    </row>
    <row r="53">
      <c r="B53" s="2">
        <f>IF(A53="","",IFERROR(INDEX('판매구성'!$B$2:$B$501,MATCH(A53,'판매구성'!$A$2:$A$501,0)),""))</f>
        <v/>
      </c>
      <c r="C53" s="4">
        <f>IF(A53="","",IFERROR(INDEX('판매구성'!$D$2:$D$501,MATCH(A53,'판매구성'!$A$2:$A$501,0)),""))</f>
        <v/>
      </c>
      <c r="D53" s="6" t="n"/>
      <c r="E53" s="6" t="n"/>
      <c r="F53" s="6" t="n"/>
      <c r="G53" s="6" t="n"/>
      <c r="H53" s="6" t="n"/>
      <c r="I53" s="6" t="n"/>
      <c r="J53" s="6" t="n"/>
      <c r="K53" s="6" t="n"/>
    </row>
    <row r="54">
      <c r="B54" s="2">
        <f>IF(A54="","",IFERROR(INDEX('판매구성'!$B$2:$B$501,MATCH(A54,'판매구성'!$A$2:$A$501,0)),""))</f>
        <v/>
      </c>
      <c r="C54" s="4">
        <f>IF(A54="","",IFERROR(INDEX('판매구성'!$D$2:$D$501,MATCH(A54,'판매구성'!$A$2:$A$501,0)),""))</f>
        <v/>
      </c>
      <c r="D54" s="6" t="n"/>
      <c r="E54" s="6" t="n"/>
      <c r="F54" s="6" t="n"/>
      <c r="G54" s="6" t="n"/>
      <c r="H54" s="6" t="n"/>
      <c r="I54" s="6" t="n"/>
      <c r="J54" s="6" t="n"/>
      <c r="K54" s="6" t="n"/>
    </row>
    <row r="55">
      <c r="B55" s="2">
        <f>IF(A55="","",IFERROR(INDEX('판매구성'!$B$2:$B$501,MATCH(A55,'판매구성'!$A$2:$A$501,0)),""))</f>
        <v/>
      </c>
      <c r="C55" s="4">
        <f>IF(A55="","",IFERROR(INDEX('판매구성'!$D$2:$D$501,MATCH(A55,'판매구성'!$A$2:$A$501,0)),""))</f>
        <v/>
      </c>
      <c r="D55" s="6" t="n"/>
      <c r="E55" s="6" t="n"/>
      <c r="F55" s="6" t="n"/>
      <c r="G55" s="6" t="n"/>
      <c r="H55" s="6" t="n"/>
      <c r="I55" s="6" t="n"/>
      <c r="J55" s="6" t="n"/>
      <c r="K55" s="6" t="n"/>
    </row>
    <row r="56">
      <c r="B56" s="2">
        <f>IF(A56="","",IFERROR(INDEX('판매구성'!$B$2:$B$501,MATCH(A56,'판매구성'!$A$2:$A$501,0)),""))</f>
        <v/>
      </c>
      <c r="C56" s="4">
        <f>IF(A56="","",IFERROR(INDEX('판매구성'!$D$2:$D$501,MATCH(A56,'판매구성'!$A$2:$A$501,0)),""))</f>
        <v/>
      </c>
      <c r="D56" s="6" t="n"/>
      <c r="E56" s="6" t="n"/>
      <c r="F56" s="6" t="n"/>
      <c r="G56" s="6" t="n"/>
      <c r="H56" s="6" t="n"/>
      <c r="I56" s="6" t="n"/>
      <c r="J56" s="6" t="n"/>
      <c r="K56" s="6" t="n"/>
    </row>
    <row r="57">
      <c r="B57" s="2">
        <f>IF(A57="","",IFERROR(INDEX('판매구성'!$B$2:$B$501,MATCH(A57,'판매구성'!$A$2:$A$501,0)),""))</f>
        <v/>
      </c>
      <c r="C57" s="4">
        <f>IF(A57="","",IFERROR(INDEX('판매구성'!$D$2:$D$501,MATCH(A57,'판매구성'!$A$2:$A$501,0)),""))</f>
        <v/>
      </c>
      <c r="D57" s="6" t="n"/>
      <c r="E57" s="6" t="n"/>
      <c r="F57" s="6" t="n"/>
      <c r="G57" s="6" t="n"/>
      <c r="H57" s="6" t="n"/>
      <c r="I57" s="6" t="n"/>
      <c r="J57" s="6" t="n"/>
      <c r="K57" s="6" t="n"/>
    </row>
    <row r="58">
      <c r="B58" s="2">
        <f>IF(A58="","",IFERROR(INDEX('판매구성'!$B$2:$B$501,MATCH(A58,'판매구성'!$A$2:$A$501,0)),""))</f>
        <v/>
      </c>
      <c r="C58" s="4">
        <f>IF(A58="","",IFERROR(INDEX('판매구성'!$D$2:$D$501,MATCH(A58,'판매구성'!$A$2:$A$501,0)),""))</f>
        <v/>
      </c>
      <c r="D58" s="6" t="n"/>
      <c r="E58" s="6" t="n"/>
      <c r="F58" s="6" t="n"/>
      <c r="G58" s="6" t="n"/>
      <c r="H58" s="6" t="n"/>
      <c r="I58" s="6" t="n"/>
      <c r="J58" s="6" t="n"/>
      <c r="K58" s="6" t="n"/>
    </row>
    <row r="59">
      <c r="B59" s="2">
        <f>IF(A59="","",IFERROR(INDEX('판매구성'!$B$2:$B$501,MATCH(A59,'판매구성'!$A$2:$A$501,0)),""))</f>
        <v/>
      </c>
      <c r="C59" s="4">
        <f>IF(A59="","",IFERROR(INDEX('판매구성'!$D$2:$D$501,MATCH(A59,'판매구성'!$A$2:$A$501,0)),""))</f>
        <v/>
      </c>
      <c r="D59" s="6" t="n"/>
      <c r="E59" s="6" t="n"/>
      <c r="F59" s="6" t="n"/>
      <c r="G59" s="6" t="n"/>
      <c r="H59" s="6" t="n"/>
      <c r="I59" s="6" t="n"/>
      <c r="J59" s="6" t="n"/>
      <c r="K59" s="6" t="n"/>
    </row>
    <row r="60">
      <c r="B60" s="2">
        <f>IF(A60="","",IFERROR(INDEX('판매구성'!$B$2:$B$501,MATCH(A60,'판매구성'!$A$2:$A$501,0)),""))</f>
        <v/>
      </c>
      <c r="C60" s="4">
        <f>IF(A60="","",IFERROR(INDEX('판매구성'!$D$2:$D$501,MATCH(A60,'판매구성'!$A$2:$A$501,0)),""))</f>
        <v/>
      </c>
      <c r="D60" s="6" t="n"/>
      <c r="E60" s="6" t="n"/>
      <c r="F60" s="6" t="n"/>
      <c r="G60" s="6" t="n"/>
      <c r="H60" s="6" t="n"/>
      <c r="I60" s="6" t="n"/>
      <c r="J60" s="6" t="n"/>
      <c r="K60" s="6" t="n"/>
    </row>
    <row r="61">
      <c r="B61" s="2">
        <f>IF(A61="","",IFERROR(INDEX('판매구성'!$B$2:$B$501,MATCH(A61,'판매구성'!$A$2:$A$501,0)),""))</f>
        <v/>
      </c>
      <c r="C61" s="4">
        <f>IF(A61="","",IFERROR(INDEX('판매구성'!$D$2:$D$501,MATCH(A61,'판매구성'!$A$2:$A$501,0)),""))</f>
        <v/>
      </c>
      <c r="D61" s="6" t="n"/>
      <c r="E61" s="6" t="n"/>
      <c r="F61" s="6" t="n"/>
      <c r="G61" s="6" t="n"/>
      <c r="H61" s="6" t="n"/>
      <c r="I61" s="6" t="n"/>
      <c r="J61" s="6" t="n"/>
      <c r="K61" s="6" t="n"/>
    </row>
    <row r="62">
      <c r="B62" s="2">
        <f>IF(A62="","",IFERROR(INDEX('판매구성'!$B$2:$B$501,MATCH(A62,'판매구성'!$A$2:$A$501,0)),""))</f>
        <v/>
      </c>
      <c r="C62" s="4">
        <f>IF(A62="","",IFERROR(INDEX('판매구성'!$D$2:$D$501,MATCH(A62,'판매구성'!$A$2:$A$501,0)),""))</f>
        <v/>
      </c>
      <c r="D62" s="6" t="n"/>
      <c r="E62" s="6" t="n"/>
      <c r="F62" s="6" t="n"/>
      <c r="G62" s="6" t="n"/>
      <c r="H62" s="6" t="n"/>
      <c r="I62" s="6" t="n"/>
      <c r="J62" s="6" t="n"/>
      <c r="K62" s="6" t="n"/>
    </row>
    <row r="63">
      <c r="B63" s="2">
        <f>IF(A63="","",IFERROR(INDEX('판매구성'!$B$2:$B$501,MATCH(A63,'판매구성'!$A$2:$A$501,0)),""))</f>
        <v/>
      </c>
      <c r="C63" s="4">
        <f>IF(A63="","",IFERROR(INDEX('판매구성'!$D$2:$D$501,MATCH(A63,'판매구성'!$A$2:$A$501,0)),""))</f>
        <v/>
      </c>
      <c r="D63" s="6" t="n"/>
      <c r="E63" s="6" t="n"/>
      <c r="F63" s="6" t="n"/>
      <c r="G63" s="6" t="n"/>
      <c r="H63" s="6" t="n"/>
      <c r="I63" s="6" t="n"/>
      <c r="J63" s="6" t="n"/>
      <c r="K63" s="6" t="n"/>
    </row>
    <row r="64">
      <c r="B64" s="2">
        <f>IF(A64="","",IFERROR(INDEX('판매구성'!$B$2:$B$501,MATCH(A64,'판매구성'!$A$2:$A$501,0)),""))</f>
        <v/>
      </c>
      <c r="C64" s="4">
        <f>IF(A64="","",IFERROR(INDEX('판매구성'!$D$2:$D$501,MATCH(A64,'판매구성'!$A$2:$A$501,0)),""))</f>
        <v/>
      </c>
      <c r="D64" s="6" t="n"/>
      <c r="E64" s="6" t="n"/>
      <c r="F64" s="6" t="n"/>
      <c r="G64" s="6" t="n"/>
      <c r="H64" s="6" t="n"/>
      <c r="I64" s="6" t="n"/>
      <c r="J64" s="6" t="n"/>
      <c r="K64" s="6" t="n"/>
    </row>
    <row r="65">
      <c r="B65" s="2">
        <f>IF(A65="","",IFERROR(INDEX('판매구성'!$B$2:$B$501,MATCH(A65,'판매구성'!$A$2:$A$501,0)),""))</f>
        <v/>
      </c>
      <c r="C65" s="4">
        <f>IF(A65="","",IFERROR(INDEX('판매구성'!$D$2:$D$501,MATCH(A65,'판매구성'!$A$2:$A$501,0)),""))</f>
        <v/>
      </c>
      <c r="D65" s="6" t="n"/>
      <c r="E65" s="6" t="n"/>
      <c r="F65" s="6" t="n"/>
      <c r="G65" s="6" t="n"/>
      <c r="H65" s="6" t="n"/>
      <c r="I65" s="6" t="n"/>
      <c r="J65" s="6" t="n"/>
      <c r="K65" s="6" t="n"/>
    </row>
    <row r="66">
      <c r="B66" s="2">
        <f>IF(A66="","",IFERROR(INDEX('판매구성'!$B$2:$B$501,MATCH(A66,'판매구성'!$A$2:$A$501,0)),""))</f>
        <v/>
      </c>
      <c r="C66" s="4">
        <f>IF(A66="","",IFERROR(INDEX('판매구성'!$D$2:$D$501,MATCH(A66,'판매구성'!$A$2:$A$501,0)),""))</f>
        <v/>
      </c>
      <c r="D66" s="6" t="n"/>
      <c r="E66" s="6" t="n"/>
      <c r="F66" s="6" t="n"/>
      <c r="G66" s="6" t="n"/>
      <c r="H66" s="6" t="n"/>
      <c r="I66" s="6" t="n"/>
      <c r="J66" s="6" t="n"/>
      <c r="K66" s="6" t="n"/>
    </row>
    <row r="67">
      <c r="B67" s="2">
        <f>IF(A67="","",IFERROR(INDEX('판매구성'!$B$2:$B$501,MATCH(A67,'판매구성'!$A$2:$A$501,0)),""))</f>
        <v/>
      </c>
      <c r="C67" s="4">
        <f>IF(A67="","",IFERROR(INDEX('판매구성'!$D$2:$D$501,MATCH(A67,'판매구성'!$A$2:$A$501,0)),""))</f>
        <v/>
      </c>
      <c r="D67" s="6" t="n"/>
      <c r="E67" s="6" t="n"/>
      <c r="F67" s="6" t="n"/>
      <c r="G67" s="6" t="n"/>
      <c r="H67" s="6" t="n"/>
      <c r="I67" s="6" t="n"/>
      <c r="J67" s="6" t="n"/>
      <c r="K67" s="6" t="n"/>
    </row>
    <row r="68">
      <c r="B68" s="2">
        <f>IF(A68="","",IFERROR(INDEX('판매구성'!$B$2:$B$501,MATCH(A68,'판매구성'!$A$2:$A$501,0)),""))</f>
        <v/>
      </c>
      <c r="C68" s="4">
        <f>IF(A68="","",IFERROR(INDEX('판매구성'!$D$2:$D$501,MATCH(A68,'판매구성'!$A$2:$A$501,0)),""))</f>
        <v/>
      </c>
      <c r="D68" s="6" t="n"/>
      <c r="E68" s="6" t="n"/>
      <c r="F68" s="6" t="n"/>
      <c r="G68" s="6" t="n"/>
      <c r="H68" s="6" t="n"/>
      <c r="I68" s="6" t="n"/>
      <c r="J68" s="6" t="n"/>
      <c r="K68" s="6" t="n"/>
    </row>
    <row r="69">
      <c r="B69" s="2">
        <f>IF(A69="","",IFERROR(INDEX('판매구성'!$B$2:$B$501,MATCH(A69,'판매구성'!$A$2:$A$501,0)),""))</f>
        <v/>
      </c>
      <c r="C69" s="4">
        <f>IF(A69="","",IFERROR(INDEX('판매구성'!$D$2:$D$501,MATCH(A69,'판매구성'!$A$2:$A$501,0)),""))</f>
        <v/>
      </c>
      <c r="D69" s="6" t="n"/>
      <c r="E69" s="6" t="n"/>
      <c r="F69" s="6" t="n"/>
      <c r="G69" s="6" t="n"/>
      <c r="H69" s="6" t="n"/>
      <c r="I69" s="6" t="n"/>
      <c r="J69" s="6" t="n"/>
      <c r="K69" s="6" t="n"/>
    </row>
    <row r="70">
      <c r="B70" s="2">
        <f>IF(A70="","",IFERROR(INDEX('판매구성'!$B$2:$B$501,MATCH(A70,'판매구성'!$A$2:$A$501,0)),""))</f>
        <v/>
      </c>
      <c r="C70" s="4">
        <f>IF(A70="","",IFERROR(INDEX('판매구성'!$D$2:$D$501,MATCH(A70,'판매구성'!$A$2:$A$501,0)),""))</f>
        <v/>
      </c>
      <c r="D70" s="6" t="n"/>
      <c r="E70" s="6" t="n"/>
      <c r="F70" s="6" t="n"/>
      <c r="G70" s="6" t="n"/>
      <c r="H70" s="6" t="n"/>
      <c r="I70" s="6" t="n"/>
      <c r="J70" s="6" t="n"/>
      <c r="K70" s="6" t="n"/>
    </row>
    <row r="71">
      <c r="B71" s="2">
        <f>IF(A71="","",IFERROR(INDEX('판매구성'!$B$2:$B$501,MATCH(A71,'판매구성'!$A$2:$A$501,0)),""))</f>
        <v/>
      </c>
      <c r="C71" s="4">
        <f>IF(A71="","",IFERROR(INDEX('판매구성'!$D$2:$D$501,MATCH(A71,'판매구성'!$A$2:$A$501,0)),""))</f>
        <v/>
      </c>
      <c r="D71" s="6" t="n"/>
      <c r="E71" s="6" t="n"/>
      <c r="F71" s="6" t="n"/>
      <c r="G71" s="6" t="n"/>
      <c r="H71" s="6" t="n"/>
      <c r="I71" s="6" t="n"/>
      <c r="J71" s="6" t="n"/>
      <c r="K71" s="6" t="n"/>
    </row>
    <row r="72">
      <c r="B72" s="2">
        <f>IF(A72="","",IFERROR(INDEX('판매구성'!$B$2:$B$501,MATCH(A72,'판매구성'!$A$2:$A$501,0)),""))</f>
        <v/>
      </c>
      <c r="C72" s="4">
        <f>IF(A72="","",IFERROR(INDEX('판매구성'!$D$2:$D$501,MATCH(A72,'판매구성'!$A$2:$A$501,0)),""))</f>
        <v/>
      </c>
      <c r="D72" s="6" t="n"/>
      <c r="E72" s="6" t="n"/>
      <c r="F72" s="6" t="n"/>
      <c r="G72" s="6" t="n"/>
      <c r="H72" s="6" t="n"/>
      <c r="I72" s="6" t="n"/>
      <c r="J72" s="6" t="n"/>
      <c r="K72" s="6" t="n"/>
    </row>
    <row r="73">
      <c r="B73" s="2">
        <f>IF(A73="","",IFERROR(INDEX('판매구성'!$B$2:$B$501,MATCH(A73,'판매구성'!$A$2:$A$501,0)),""))</f>
        <v/>
      </c>
      <c r="C73" s="4">
        <f>IF(A73="","",IFERROR(INDEX('판매구성'!$D$2:$D$501,MATCH(A73,'판매구성'!$A$2:$A$501,0)),""))</f>
        <v/>
      </c>
      <c r="D73" s="6" t="n"/>
      <c r="E73" s="6" t="n"/>
      <c r="F73" s="6" t="n"/>
      <c r="G73" s="6" t="n"/>
      <c r="H73" s="6" t="n"/>
      <c r="I73" s="6" t="n"/>
      <c r="J73" s="6" t="n"/>
      <c r="K73" s="6" t="n"/>
    </row>
    <row r="74">
      <c r="B74" s="2">
        <f>IF(A74="","",IFERROR(INDEX('판매구성'!$B$2:$B$501,MATCH(A74,'판매구성'!$A$2:$A$501,0)),""))</f>
        <v/>
      </c>
      <c r="C74" s="4">
        <f>IF(A74="","",IFERROR(INDEX('판매구성'!$D$2:$D$501,MATCH(A74,'판매구성'!$A$2:$A$501,0)),""))</f>
        <v/>
      </c>
      <c r="D74" s="6" t="n"/>
      <c r="E74" s="6" t="n"/>
      <c r="F74" s="6" t="n"/>
      <c r="G74" s="6" t="n"/>
      <c r="H74" s="6" t="n"/>
      <c r="I74" s="6" t="n"/>
      <c r="J74" s="6" t="n"/>
      <c r="K74" s="6" t="n"/>
    </row>
    <row r="75">
      <c r="B75" s="2">
        <f>IF(A75="","",IFERROR(INDEX('판매구성'!$B$2:$B$501,MATCH(A75,'판매구성'!$A$2:$A$501,0)),""))</f>
        <v/>
      </c>
      <c r="C75" s="4">
        <f>IF(A75="","",IFERROR(INDEX('판매구성'!$D$2:$D$501,MATCH(A75,'판매구성'!$A$2:$A$501,0)),""))</f>
        <v/>
      </c>
      <c r="D75" s="6" t="n"/>
      <c r="E75" s="6" t="n"/>
      <c r="F75" s="6" t="n"/>
      <c r="G75" s="6" t="n"/>
      <c r="H75" s="6" t="n"/>
      <c r="I75" s="6" t="n"/>
      <c r="J75" s="6" t="n"/>
      <c r="K75" s="6" t="n"/>
    </row>
    <row r="76">
      <c r="B76" s="2">
        <f>IF(A76="","",IFERROR(INDEX('판매구성'!$B$2:$B$501,MATCH(A76,'판매구성'!$A$2:$A$501,0)),""))</f>
        <v/>
      </c>
      <c r="C76" s="4">
        <f>IF(A76="","",IFERROR(INDEX('판매구성'!$D$2:$D$501,MATCH(A76,'판매구성'!$A$2:$A$501,0)),""))</f>
        <v/>
      </c>
      <c r="D76" s="6" t="n"/>
      <c r="E76" s="6" t="n"/>
      <c r="F76" s="6" t="n"/>
      <c r="G76" s="6" t="n"/>
      <c r="H76" s="6" t="n"/>
      <c r="I76" s="6" t="n"/>
      <c r="J76" s="6" t="n"/>
      <c r="K76" s="6" t="n"/>
    </row>
    <row r="77">
      <c r="B77" s="2">
        <f>IF(A77="","",IFERROR(INDEX('판매구성'!$B$2:$B$501,MATCH(A77,'판매구성'!$A$2:$A$501,0)),""))</f>
        <v/>
      </c>
      <c r="C77" s="4">
        <f>IF(A77="","",IFERROR(INDEX('판매구성'!$D$2:$D$501,MATCH(A77,'판매구성'!$A$2:$A$501,0)),""))</f>
        <v/>
      </c>
      <c r="D77" s="6" t="n"/>
      <c r="E77" s="6" t="n"/>
      <c r="F77" s="6" t="n"/>
      <c r="G77" s="6" t="n"/>
      <c r="H77" s="6" t="n"/>
      <c r="I77" s="6" t="n"/>
      <c r="J77" s="6" t="n"/>
      <c r="K77" s="6" t="n"/>
    </row>
    <row r="78">
      <c r="B78" s="2">
        <f>IF(A78="","",IFERROR(INDEX('판매구성'!$B$2:$B$501,MATCH(A78,'판매구성'!$A$2:$A$501,0)),""))</f>
        <v/>
      </c>
      <c r="C78" s="4">
        <f>IF(A78="","",IFERROR(INDEX('판매구성'!$D$2:$D$501,MATCH(A78,'판매구성'!$A$2:$A$501,0)),""))</f>
        <v/>
      </c>
      <c r="D78" s="6" t="n"/>
      <c r="E78" s="6" t="n"/>
      <c r="F78" s="6" t="n"/>
      <c r="G78" s="6" t="n"/>
      <c r="H78" s="6" t="n"/>
      <c r="I78" s="6" t="n"/>
      <c r="J78" s="6" t="n"/>
      <c r="K78" s="6" t="n"/>
    </row>
    <row r="79">
      <c r="B79" s="2">
        <f>IF(A79="","",IFERROR(INDEX('판매구성'!$B$2:$B$501,MATCH(A79,'판매구성'!$A$2:$A$501,0)),""))</f>
        <v/>
      </c>
      <c r="C79" s="4">
        <f>IF(A79="","",IFERROR(INDEX('판매구성'!$D$2:$D$501,MATCH(A79,'판매구성'!$A$2:$A$501,0)),""))</f>
        <v/>
      </c>
      <c r="D79" s="6" t="n"/>
      <c r="E79" s="6" t="n"/>
      <c r="F79" s="6" t="n"/>
      <c r="G79" s="6" t="n"/>
      <c r="H79" s="6" t="n"/>
      <c r="I79" s="6" t="n"/>
      <c r="J79" s="6" t="n"/>
      <c r="K79" s="6" t="n"/>
    </row>
    <row r="80">
      <c r="B80" s="2">
        <f>IF(A80="","",IFERROR(INDEX('판매구성'!$B$2:$B$501,MATCH(A80,'판매구성'!$A$2:$A$501,0)),""))</f>
        <v/>
      </c>
      <c r="C80" s="4">
        <f>IF(A80="","",IFERROR(INDEX('판매구성'!$D$2:$D$501,MATCH(A80,'판매구성'!$A$2:$A$501,0)),""))</f>
        <v/>
      </c>
      <c r="D80" s="6" t="n"/>
      <c r="E80" s="6" t="n"/>
      <c r="F80" s="6" t="n"/>
      <c r="G80" s="6" t="n"/>
      <c r="H80" s="6" t="n"/>
      <c r="I80" s="6" t="n"/>
      <c r="J80" s="6" t="n"/>
      <c r="K80" s="6" t="n"/>
    </row>
    <row r="81">
      <c r="B81" s="2">
        <f>IF(A81="","",IFERROR(INDEX('판매구성'!$B$2:$B$501,MATCH(A81,'판매구성'!$A$2:$A$501,0)),""))</f>
        <v/>
      </c>
      <c r="C81" s="4">
        <f>IF(A81="","",IFERROR(INDEX('판매구성'!$D$2:$D$501,MATCH(A81,'판매구성'!$A$2:$A$501,0)),""))</f>
        <v/>
      </c>
      <c r="D81" s="6" t="n"/>
      <c r="E81" s="6" t="n"/>
      <c r="F81" s="6" t="n"/>
      <c r="G81" s="6" t="n"/>
      <c r="H81" s="6" t="n"/>
      <c r="I81" s="6" t="n"/>
      <c r="J81" s="6" t="n"/>
      <c r="K81" s="6" t="n"/>
    </row>
    <row r="82">
      <c r="B82" s="2">
        <f>IF(A82="","",IFERROR(INDEX('판매구성'!$B$2:$B$501,MATCH(A82,'판매구성'!$A$2:$A$501,0)),""))</f>
        <v/>
      </c>
      <c r="C82" s="4">
        <f>IF(A82="","",IFERROR(INDEX('판매구성'!$D$2:$D$501,MATCH(A82,'판매구성'!$A$2:$A$501,0)),""))</f>
        <v/>
      </c>
      <c r="D82" s="6" t="n"/>
      <c r="E82" s="6" t="n"/>
      <c r="F82" s="6" t="n"/>
      <c r="G82" s="6" t="n"/>
      <c r="H82" s="6" t="n"/>
      <c r="I82" s="6" t="n"/>
      <c r="J82" s="6" t="n"/>
      <c r="K82" s="6" t="n"/>
    </row>
    <row r="83">
      <c r="B83" s="2">
        <f>IF(A83="","",IFERROR(INDEX('판매구성'!$B$2:$B$501,MATCH(A83,'판매구성'!$A$2:$A$501,0)),""))</f>
        <v/>
      </c>
      <c r="C83" s="4">
        <f>IF(A83="","",IFERROR(INDEX('판매구성'!$D$2:$D$501,MATCH(A83,'판매구성'!$A$2:$A$501,0)),""))</f>
        <v/>
      </c>
      <c r="D83" s="6" t="n"/>
      <c r="E83" s="6" t="n"/>
      <c r="F83" s="6" t="n"/>
      <c r="G83" s="6" t="n"/>
      <c r="H83" s="6" t="n"/>
      <c r="I83" s="6" t="n"/>
      <c r="J83" s="6" t="n"/>
      <c r="K83" s="6" t="n"/>
    </row>
    <row r="84">
      <c r="B84" s="2">
        <f>IF(A84="","",IFERROR(INDEX('판매구성'!$B$2:$B$501,MATCH(A84,'판매구성'!$A$2:$A$501,0)),""))</f>
        <v/>
      </c>
      <c r="C84" s="4">
        <f>IF(A84="","",IFERROR(INDEX('판매구성'!$D$2:$D$501,MATCH(A84,'판매구성'!$A$2:$A$501,0)),""))</f>
        <v/>
      </c>
      <c r="D84" s="6" t="n"/>
      <c r="E84" s="6" t="n"/>
      <c r="F84" s="6" t="n"/>
      <c r="G84" s="6" t="n"/>
      <c r="H84" s="6" t="n"/>
      <c r="I84" s="6" t="n"/>
      <c r="J84" s="6" t="n"/>
      <c r="K84" s="6" t="n"/>
    </row>
    <row r="85">
      <c r="B85" s="2">
        <f>IF(A85="","",IFERROR(INDEX('판매구성'!$B$2:$B$501,MATCH(A85,'판매구성'!$A$2:$A$501,0)),""))</f>
        <v/>
      </c>
      <c r="C85" s="4">
        <f>IF(A85="","",IFERROR(INDEX('판매구성'!$D$2:$D$501,MATCH(A85,'판매구성'!$A$2:$A$501,0)),""))</f>
        <v/>
      </c>
      <c r="D85" s="6" t="n"/>
      <c r="E85" s="6" t="n"/>
      <c r="F85" s="6" t="n"/>
      <c r="G85" s="6" t="n"/>
      <c r="H85" s="6" t="n"/>
      <c r="I85" s="6" t="n"/>
      <c r="J85" s="6" t="n"/>
      <c r="K85" s="6" t="n"/>
    </row>
    <row r="86">
      <c r="B86" s="2">
        <f>IF(A86="","",IFERROR(INDEX('판매구성'!$B$2:$B$501,MATCH(A86,'판매구성'!$A$2:$A$501,0)),""))</f>
        <v/>
      </c>
      <c r="C86" s="4">
        <f>IF(A86="","",IFERROR(INDEX('판매구성'!$D$2:$D$501,MATCH(A86,'판매구성'!$A$2:$A$501,0)),""))</f>
        <v/>
      </c>
      <c r="D86" s="6" t="n"/>
      <c r="E86" s="6" t="n"/>
      <c r="F86" s="6" t="n"/>
      <c r="G86" s="6" t="n"/>
      <c r="H86" s="6" t="n"/>
      <c r="I86" s="6" t="n"/>
      <c r="J86" s="6" t="n"/>
      <c r="K86" s="6" t="n"/>
    </row>
    <row r="87">
      <c r="B87" s="2">
        <f>IF(A87="","",IFERROR(INDEX('판매구성'!$B$2:$B$501,MATCH(A87,'판매구성'!$A$2:$A$501,0)),""))</f>
        <v/>
      </c>
      <c r="C87" s="4">
        <f>IF(A87="","",IFERROR(INDEX('판매구성'!$D$2:$D$501,MATCH(A87,'판매구성'!$A$2:$A$501,0)),""))</f>
        <v/>
      </c>
      <c r="D87" s="6" t="n"/>
      <c r="E87" s="6" t="n"/>
      <c r="F87" s="6" t="n"/>
      <c r="G87" s="6" t="n"/>
      <c r="H87" s="6" t="n"/>
      <c r="I87" s="6" t="n"/>
      <c r="J87" s="6" t="n"/>
      <c r="K87" s="6" t="n"/>
    </row>
    <row r="88">
      <c r="B88" s="2">
        <f>IF(A88="","",IFERROR(INDEX('판매구성'!$B$2:$B$501,MATCH(A88,'판매구성'!$A$2:$A$501,0)),""))</f>
        <v/>
      </c>
      <c r="C88" s="4">
        <f>IF(A88="","",IFERROR(INDEX('판매구성'!$D$2:$D$501,MATCH(A88,'판매구성'!$A$2:$A$501,0)),""))</f>
        <v/>
      </c>
      <c r="D88" s="6" t="n"/>
      <c r="E88" s="6" t="n"/>
      <c r="F88" s="6" t="n"/>
      <c r="G88" s="6" t="n"/>
      <c r="H88" s="6" t="n"/>
      <c r="I88" s="6" t="n"/>
      <c r="J88" s="6" t="n"/>
      <c r="K88" s="6" t="n"/>
    </row>
    <row r="89">
      <c r="B89" s="2">
        <f>IF(A89="","",IFERROR(INDEX('판매구성'!$B$2:$B$501,MATCH(A89,'판매구성'!$A$2:$A$501,0)),""))</f>
        <v/>
      </c>
      <c r="C89" s="4">
        <f>IF(A89="","",IFERROR(INDEX('판매구성'!$D$2:$D$501,MATCH(A89,'판매구성'!$A$2:$A$501,0)),""))</f>
        <v/>
      </c>
      <c r="D89" s="6" t="n"/>
      <c r="E89" s="6" t="n"/>
      <c r="F89" s="6" t="n"/>
      <c r="G89" s="6" t="n"/>
      <c r="H89" s="6" t="n"/>
      <c r="I89" s="6" t="n"/>
      <c r="J89" s="6" t="n"/>
      <c r="K89" s="6" t="n"/>
    </row>
    <row r="90">
      <c r="B90" s="2">
        <f>IF(A90="","",IFERROR(INDEX('판매구성'!$B$2:$B$501,MATCH(A90,'판매구성'!$A$2:$A$501,0)),""))</f>
        <v/>
      </c>
      <c r="C90" s="4">
        <f>IF(A90="","",IFERROR(INDEX('판매구성'!$D$2:$D$501,MATCH(A90,'판매구성'!$A$2:$A$501,0)),""))</f>
        <v/>
      </c>
      <c r="D90" s="6" t="n"/>
      <c r="E90" s="6" t="n"/>
      <c r="F90" s="6" t="n"/>
      <c r="G90" s="6" t="n"/>
      <c r="H90" s="6" t="n"/>
      <c r="I90" s="6" t="n"/>
      <c r="J90" s="6" t="n"/>
      <c r="K90" s="6" t="n"/>
    </row>
    <row r="91">
      <c r="B91" s="2">
        <f>IF(A91="","",IFERROR(INDEX('판매구성'!$B$2:$B$501,MATCH(A91,'판매구성'!$A$2:$A$501,0)),""))</f>
        <v/>
      </c>
      <c r="C91" s="4">
        <f>IF(A91="","",IFERROR(INDEX('판매구성'!$D$2:$D$501,MATCH(A91,'판매구성'!$A$2:$A$501,0)),""))</f>
        <v/>
      </c>
      <c r="D91" s="6" t="n"/>
      <c r="E91" s="6" t="n"/>
      <c r="F91" s="6" t="n"/>
      <c r="G91" s="6" t="n"/>
      <c r="H91" s="6" t="n"/>
      <c r="I91" s="6" t="n"/>
      <c r="J91" s="6" t="n"/>
      <c r="K91" s="6" t="n"/>
    </row>
    <row r="92">
      <c r="B92" s="2">
        <f>IF(A92="","",IFERROR(INDEX('판매구성'!$B$2:$B$501,MATCH(A92,'판매구성'!$A$2:$A$501,0)),""))</f>
        <v/>
      </c>
      <c r="C92" s="4">
        <f>IF(A92="","",IFERROR(INDEX('판매구성'!$D$2:$D$501,MATCH(A92,'판매구성'!$A$2:$A$501,0)),""))</f>
        <v/>
      </c>
      <c r="D92" s="6" t="n"/>
      <c r="E92" s="6" t="n"/>
      <c r="F92" s="6" t="n"/>
      <c r="G92" s="6" t="n"/>
      <c r="H92" s="6" t="n"/>
      <c r="I92" s="6" t="n"/>
      <c r="J92" s="6" t="n"/>
      <c r="K92" s="6" t="n"/>
    </row>
    <row r="93">
      <c r="B93" s="2">
        <f>IF(A93="","",IFERROR(INDEX('판매구성'!$B$2:$B$501,MATCH(A93,'판매구성'!$A$2:$A$501,0)),""))</f>
        <v/>
      </c>
      <c r="C93" s="4">
        <f>IF(A93="","",IFERROR(INDEX('판매구성'!$D$2:$D$501,MATCH(A93,'판매구성'!$A$2:$A$501,0)),""))</f>
        <v/>
      </c>
      <c r="D93" s="6" t="n"/>
      <c r="E93" s="6" t="n"/>
      <c r="F93" s="6" t="n"/>
      <c r="G93" s="6" t="n"/>
      <c r="H93" s="6" t="n"/>
      <c r="I93" s="6" t="n"/>
      <c r="J93" s="6" t="n"/>
      <c r="K93" s="6" t="n"/>
    </row>
    <row r="94">
      <c r="B94" s="2">
        <f>IF(A94="","",IFERROR(INDEX('판매구성'!$B$2:$B$501,MATCH(A94,'판매구성'!$A$2:$A$501,0)),""))</f>
        <v/>
      </c>
      <c r="C94" s="4">
        <f>IF(A94="","",IFERROR(INDEX('판매구성'!$D$2:$D$501,MATCH(A94,'판매구성'!$A$2:$A$501,0)),""))</f>
        <v/>
      </c>
      <c r="D94" s="6" t="n"/>
      <c r="E94" s="6" t="n"/>
      <c r="F94" s="6" t="n"/>
      <c r="G94" s="6" t="n"/>
      <c r="H94" s="6" t="n"/>
      <c r="I94" s="6" t="n"/>
      <c r="J94" s="6" t="n"/>
      <c r="K94" s="6" t="n"/>
    </row>
    <row r="95">
      <c r="B95" s="2">
        <f>IF(A95="","",IFERROR(INDEX('판매구성'!$B$2:$B$501,MATCH(A95,'판매구성'!$A$2:$A$501,0)),""))</f>
        <v/>
      </c>
      <c r="C95" s="4">
        <f>IF(A95="","",IFERROR(INDEX('판매구성'!$D$2:$D$501,MATCH(A95,'판매구성'!$A$2:$A$501,0)),""))</f>
        <v/>
      </c>
      <c r="D95" s="6" t="n"/>
      <c r="E95" s="6" t="n"/>
      <c r="F95" s="6" t="n"/>
      <c r="G95" s="6" t="n"/>
      <c r="H95" s="6" t="n"/>
      <c r="I95" s="6" t="n"/>
      <c r="J95" s="6" t="n"/>
      <c r="K95" s="6" t="n"/>
    </row>
    <row r="96">
      <c r="B96" s="2">
        <f>IF(A96="","",IFERROR(INDEX('판매구성'!$B$2:$B$501,MATCH(A96,'판매구성'!$A$2:$A$501,0)),""))</f>
        <v/>
      </c>
      <c r="C96" s="4">
        <f>IF(A96="","",IFERROR(INDEX('판매구성'!$D$2:$D$501,MATCH(A96,'판매구성'!$A$2:$A$501,0)),""))</f>
        <v/>
      </c>
      <c r="D96" s="6" t="n"/>
      <c r="E96" s="6" t="n"/>
      <c r="F96" s="6" t="n"/>
      <c r="G96" s="6" t="n"/>
      <c r="H96" s="6" t="n"/>
      <c r="I96" s="6" t="n"/>
      <c r="J96" s="6" t="n"/>
      <c r="K96" s="6" t="n"/>
    </row>
    <row r="97">
      <c r="B97" s="2">
        <f>IF(A97="","",IFERROR(INDEX('판매구성'!$B$2:$B$501,MATCH(A97,'판매구성'!$A$2:$A$501,0)),""))</f>
        <v/>
      </c>
      <c r="C97" s="4">
        <f>IF(A97="","",IFERROR(INDEX('판매구성'!$D$2:$D$501,MATCH(A97,'판매구성'!$A$2:$A$501,0)),""))</f>
        <v/>
      </c>
      <c r="D97" s="6" t="n"/>
      <c r="E97" s="6" t="n"/>
      <c r="F97" s="6" t="n"/>
      <c r="G97" s="6" t="n"/>
      <c r="H97" s="6" t="n"/>
      <c r="I97" s="6" t="n"/>
      <c r="J97" s="6" t="n"/>
      <c r="K97" s="6" t="n"/>
    </row>
    <row r="98">
      <c r="B98" s="2">
        <f>IF(A98="","",IFERROR(INDEX('판매구성'!$B$2:$B$501,MATCH(A98,'판매구성'!$A$2:$A$501,0)),""))</f>
        <v/>
      </c>
      <c r="C98" s="4">
        <f>IF(A98="","",IFERROR(INDEX('판매구성'!$D$2:$D$501,MATCH(A98,'판매구성'!$A$2:$A$501,0)),""))</f>
        <v/>
      </c>
      <c r="D98" s="6" t="n"/>
      <c r="E98" s="6" t="n"/>
      <c r="F98" s="6" t="n"/>
      <c r="G98" s="6" t="n"/>
      <c r="H98" s="6" t="n"/>
      <c r="I98" s="6" t="n"/>
      <c r="J98" s="6" t="n"/>
      <c r="K98" s="6" t="n"/>
    </row>
    <row r="99">
      <c r="B99" s="2">
        <f>IF(A99="","",IFERROR(INDEX('판매구성'!$B$2:$B$501,MATCH(A99,'판매구성'!$A$2:$A$501,0)),""))</f>
        <v/>
      </c>
      <c r="C99" s="4">
        <f>IF(A99="","",IFERROR(INDEX('판매구성'!$D$2:$D$501,MATCH(A99,'판매구성'!$A$2:$A$501,0)),""))</f>
        <v/>
      </c>
      <c r="D99" s="6" t="n"/>
      <c r="E99" s="6" t="n"/>
      <c r="F99" s="6" t="n"/>
      <c r="G99" s="6" t="n"/>
      <c r="H99" s="6" t="n"/>
      <c r="I99" s="6" t="n"/>
      <c r="J99" s="6" t="n"/>
      <c r="K99" s="6" t="n"/>
    </row>
    <row r="100">
      <c r="B100" s="2">
        <f>IF(A100="","",IFERROR(INDEX('판매구성'!$B$2:$B$501,MATCH(A100,'판매구성'!$A$2:$A$501,0)),""))</f>
        <v/>
      </c>
      <c r="C100" s="4">
        <f>IF(A100="","",IFERROR(INDEX('판매구성'!$D$2:$D$501,MATCH(A100,'판매구성'!$A$2:$A$501,0)),""))</f>
        <v/>
      </c>
      <c r="D100" s="6" t="n"/>
      <c r="E100" s="6" t="n"/>
      <c r="F100" s="6" t="n"/>
      <c r="G100" s="6" t="n"/>
      <c r="H100" s="6" t="n"/>
      <c r="I100" s="6" t="n"/>
      <c r="J100" s="6" t="n"/>
      <c r="K100" s="6" t="n"/>
    </row>
    <row r="101">
      <c r="B101" s="2">
        <f>IF(A101="","",IFERROR(INDEX('판매구성'!$B$2:$B$501,MATCH(A101,'판매구성'!$A$2:$A$501,0)),""))</f>
        <v/>
      </c>
      <c r="C101" s="4">
        <f>IF(A101="","",IFERROR(INDEX('판매구성'!$D$2:$D$501,MATCH(A101,'판매구성'!$A$2:$A$501,0)),""))</f>
        <v/>
      </c>
      <c r="D101" s="6" t="n"/>
      <c r="E101" s="6" t="n"/>
      <c r="F101" s="6" t="n"/>
      <c r="G101" s="6" t="n"/>
      <c r="H101" s="6" t="n"/>
      <c r="I101" s="6" t="n"/>
      <c r="J101" s="6" t="n"/>
      <c r="K101" s="6" t="n"/>
    </row>
    <row r="102">
      <c r="B102" s="2">
        <f>IF(A102="","",IFERROR(INDEX('판매구성'!$B$2:$B$501,MATCH(A102,'판매구성'!$A$2:$A$501,0)),""))</f>
        <v/>
      </c>
      <c r="C102" s="4">
        <f>IF(A102="","",IFERROR(INDEX('판매구성'!$D$2:$D$501,MATCH(A102,'판매구성'!$A$2:$A$501,0)),""))</f>
        <v/>
      </c>
      <c r="D102" s="6" t="n"/>
      <c r="E102" s="6" t="n"/>
      <c r="F102" s="6" t="n"/>
      <c r="G102" s="6" t="n"/>
      <c r="H102" s="6" t="n"/>
      <c r="I102" s="6" t="n"/>
      <c r="J102" s="6" t="n"/>
      <c r="K102" s="6" t="n"/>
    </row>
    <row r="103">
      <c r="B103" s="2">
        <f>IF(A103="","",IFERROR(INDEX('판매구성'!$B$2:$B$501,MATCH(A103,'판매구성'!$A$2:$A$501,0)),""))</f>
        <v/>
      </c>
      <c r="C103" s="4">
        <f>IF(A103="","",IFERROR(INDEX('판매구성'!$D$2:$D$501,MATCH(A103,'판매구성'!$A$2:$A$501,0)),""))</f>
        <v/>
      </c>
      <c r="D103" s="6" t="n"/>
      <c r="E103" s="6" t="n"/>
      <c r="F103" s="6" t="n"/>
      <c r="G103" s="6" t="n"/>
      <c r="H103" s="6" t="n"/>
      <c r="I103" s="6" t="n"/>
      <c r="J103" s="6" t="n"/>
      <c r="K103" s="6" t="n"/>
    </row>
    <row r="104">
      <c r="B104" s="2">
        <f>IF(A104="","",IFERROR(INDEX('판매구성'!$B$2:$B$501,MATCH(A104,'판매구성'!$A$2:$A$501,0)),""))</f>
        <v/>
      </c>
      <c r="C104" s="4">
        <f>IF(A104="","",IFERROR(INDEX('판매구성'!$D$2:$D$501,MATCH(A104,'판매구성'!$A$2:$A$501,0)),""))</f>
        <v/>
      </c>
      <c r="D104" s="6" t="n"/>
      <c r="E104" s="6" t="n"/>
      <c r="F104" s="6" t="n"/>
      <c r="G104" s="6" t="n"/>
      <c r="H104" s="6" t="n"/>
      <c r="I104" s="6" t="n"/>
      <c r="J104" s="6" t="n"/>
      <c r="K104" s="6" t="n"/>
    </row>
    <row r="105">
      <c r="B105" s="2">
        <f>IF(A105="","",IFERROR(INDEX('판매구성'!$B$2:$B$501,MATCH(A105,'판매구성'!$A$2:$A$501,0)),""))</f>
        <v/>
      </c>
      <c r="C105" s="4">
        <f>IF(A105="","",IFERROR(INDEX('판매구성'!$D$2:$D$501,MATCH(A105,'판매구성'!$A$2:$A$501,0)),""))</f>
        <v/>
      </c>
      <c r="D105" s="6" t="n"/>
      <c r="E105" s="6" t="n"/>
      <c r="F105" s="6" t="n"/>
      <c r="G105" s="6" t="n"/>
      <c r="H105" s="6" t="n"/>
      <c r="I105" s="6" t="n"/>
      <c r="J105" s="6" t="n"/>
      <c r="K105" s="6" t="n"/>
    </row>
    <row r="106">
      <c r="B106" s="2">
        <f>IF(A106="","",IFERROR(INDEX('판매구성'!$B$2:$B$501,MATCH(A106,'판매구성'!$A$2:$A$501,0)),""))</f>
        <v/>
      </c>
      <c r="C106" s="4">
        <f>IF(A106="","",IFERROR(INDEX('판매구성'!$D$2:$D$501,MATCH(A106,'판매구성'!$A$2:$A$501,0)),""))</f>
        <v/>
      </c>
      <c r="D106" s="6" t="n"/>
      <c r="E106" s="6" t="n"/>
      <c r="F106" s="6" t="n"/>
      <c r="G106" s="6" t="n"/>
      <c r="H106" s="6" t="n"/>
      <c r="I106" s="6" t="n"/>
      <c r="J106" s="6" t="n"/>
      <c r="K106" s="6" t="n"/>
    </row>
    <row r="107">
      <c r="B107" s="2">
        <f>IF(A107="","",IFERROR(INDEX('판매구성'!$B$2:$B$501,MATCH(A107,'판매구성'!$A$2:$A$501,0)),""))</f>
        <v/>
      </c>
      <c r="C107" s="4">
        <f>IF(A107="","",IFERROR(INDEX('판매구성'!$D$2:$D$501,MATCH(A107,'판매구성'!$A$2:$A$501,0)),""))</f>
        <v/>
      </c>
      <c r="D107" s="6" t="n"/>
      <c r="E107" s="6" t="n"/>
      <c r="F107" s="6" t="n"/>
      <c r="G107" s="6" t="n"/>
      <c r="H107" s="6" t="n"/>
      <c r="I107" s="6" t="n"/>
      <c r="J107" s="6" t="n"/>
      <c r="K107" s="6" t="n"/>
    </row>
    <row r="108">
      <c r="B108" s="2">
        <f>IF(A108="","",IFERROR(INDEX('판매구성'!$B$2:$B$501,MATCH(A108,'판매구성'!$A$2:$A$501,0)),""))</f>
        <v/>
      </c>
      <c r="C108" s="4">
        <f>IF(A108="","",IFERROR(INDEX('판매구성'!$D$2:$D$501,MATCH(A108,'판매구성'!$A$2:$A$501,0)),""))</f>
        <v/>
      </c>
      <c r="D108" s="6" t="n"/>
      <c r="E108" s="6" t="n"/>
      <c r="F108" s="6" t="n"/>
      <c r="G108" s="6" t="n"/>
      <c r="H108" s="6" t="n"/>
      <c r="I108" s="6" t="n"/>
      <c r="J108" s="6" t="n"/>
      <c r="K108" s="6" t="n"/>
    </row>
    <row r="109">
      <c r="B109" s="2">
        <f>IF(A109="","",IFERROR(INDEX('판매구성'!$B$2:$B$501,MATCH(A109,'판매구성'!$A$2:$A$501,0)),""))</f>
        <v/>
      </c>
      <c r="C109" s="4">
        <f>IF(A109="","",IFERROR(INDEX('판매구성'!$D$2:$D$501,MATCH(A109,'판매구성'!$A$2:$A$501,0)),""))</f>
        <v/>
      </c>
      <c r="D109" s="6" t="n"/>
      <c r="E109" s="6" t="n"/>
      <c r="F109" s="6" t="n"/>
      <c r="G109" s="6" t="n"/>
      <c r="H109" s="6" t="n"/>
      <c r="I109" s="6" t="n"/>
      <c r="J109" s="6" t="n"/>
      <c r="K109" s="6" t="n"/>
    </row>
    <row r="110">
      <c r="B110" s="2">
        <f>IF(A110="","",IFERROR(INDEX('판매구성'!$B$2:$B$501,MATCH(A110,'판매구성'!$A$2:$A$501,0)),""))</f>
        <v/>
      </c>
      <c r="C110" s="4">
        <f>IF(A110="","",IFERROR(INDEX('판매구성'!$D$2:$D$501,MATCH(A110,'판매구성'!$A$2:$A$501,0)),""))</f>
        <v/>
      </c>
      <c r="D110" s="6" t="n"/>
      <c r="E110" s="6" t="n"/>
      <c r="F110" s="6" t="n"/>
      <c r="G110" s="6" t="n"/>
      <c r="H110" s="6" t="n"/>
      <c r="I110" s="6" t="n"/>
      <c r="J110" s="6" t="n"/>
      <c r="K110" s="6" t="n"/>
    </row>
    <row r="111">
      <c r="B111" s="2">
        <f>IF(A111="","",IFERROR(INDEX('판매구성'!$B$2:$B$501,MATCH(A111,'판매구성'!$A$2:$A$501,0)),""))</f>
        <v/>
      </c>
      <c r="C111" s="4">
        <f>IF(A111="","",IFERROR(INDEX('판매구성'!$D$2:$D$501,MATCH(A111,'판매구성'!$A$2:$A$501,0)),""))</f>
        <v/>
      </c>
      <c r="D111" s="6" t="n"/>
      <c r="E111" s="6" t="n"/>
      <c r="F111" s="6" t="n"/>
      <c r="G111" s="6" t="n"/>
      <c r="H111" s="6" t="n"/>
      <c r="I111" s="6" t="n"/>
      <c r="J111" s="6" t="n"/>
      <c r="K111" s="6" t="n"/>
    </row>
    <row r="112">
      <c r="B112" s="2">
        <f>IF(A112="","",IFERROR(INDEX('판매구성'!$B$2:$B$501,MATCH(A112,'판매구성'!$A$2:$A$501,0)),""))</f>
        <v/>
      </c>
      <c r="C112" s="4">
        <f>IF(A112="","",IFERROR(INDEX('판매구성'!$D$2:$D$501,MATCH(A112,'판매구성'!$A$2:$A$501,0)),""))</f>
        <v/>
      </c>
      <c r="D112" s="6" t="n"/>
      <c r="E112" s="6" t="n"/>
      <c r="F112" s="6" t="n"/>
      <c r="G112" s="6" t="n"/>
      <c r="H112" s="6" t="n"/>
      <c r="I112" s="6" t="n"/>
      <c r="J112" s="6" t="n"/>
      <c r="K112" s="6" t="n"/>
    </row>
    <row r="113">
      <c r="B113" s="2">
        <f>IF(A113="","",IFERROR(INDEX('판매구성'!$B$2:$B$501,MATCH(A113,'판매구성'!$A$2:$A$501,0)),""))</f>
        <v/>
      </c>
      <c r="C113" s="4">
        <f>IF(A113="","",IFERROR(INDEX('판매구성'!$D$2:$D$501,MATCH(A113,'판매구성'!$A$2:$A$501,0)),""))</f>
        <v/>
      </c>
      <c r="D113" s="6" t="n"/>
      <c r="E113" s="6" t="n"/>
      <c r="F113" s="6" t="n"/>
      <c r="G113" s="6" t="n"/>
      <c r="H113" s="6" t="n"/>
      <c r="I113" s="6" t="n"/>
      <c r="J113" s="6" t="n"/>
      <c r="K113" s="6" t="n"/>
    </row>
    <row r="114">
      <c r="B114" s="2">
        <f>IF(A114="","",IFERROR(INDEX('판매구성'!$B$2:$B$501,MATCH(A114,'판매구성'!$A$2:$A$501,0)),""))</f>
        <v/>
      </c>
      <c r="C114" s="4">
        <f>IF(A114="","",IFERROR(INDEX('판매구성'!$D$2:$D$501,MATCH(A114,'판매구성'!$A$2:$A$501,0)),""))</f>
        <v/>
      </c>
      <c r="D114" s="6" t="n"/>
      <c r="E114" s="6" t="n"/>
      <c r="F114" s="6" t="n"/>
      <c r="G114" s="6" t="n"/>
      <c r="H114" s="6" t="n"/>
      <c r="I114" s="6" t="n"/>
      <c r="J114" s="6" t="n"/>
      <c r="K114" s="6" t="n"/>
    </row>
    <row r="115">
      <c r="B115" s="2">
        <f>IF(A115="","",IFERROR(INDEX('판매구성'!$B$2:$B$501,MATCH(A115,'판매구성'!$A$2:$A$501,0)),""))</f>
        <v/>
      </c>
      <c r="C115" s="4">
        <f>IF(A115="","",IFERROR(INDEX('판매구성'!$D$2:$D$501,MATCH(A115,'판매구성'!$A$2:$A$501,0)),""))</f>
        <v/>
      </c>
      <c r="D115" s="6" t="n"/>
      <c r="E115" s="6" t="n"/>
      <c r="F115" s="6" t="n"/>
      <c r="G115" s="6" t="n"/>
      <c r="H115" s="6" t="n"/>
      <c r="I115" s="6" t="n"/>
      <c r="J115" s="6" t="n"/>
      <c r="K115" s="6" t="n"/>
    </row>
    <row r="116">
      <c r="B116" s="2">
        <f>IF(A116="","",IFERROR(INDEX('판매구성'!$B$2:$B$501,MATCH(A116,'판매구성'!$A$2:$A$501,0)),""))</f>
        <v/>
      </c>
      <c r="C116" s="4">
        <f>IF(A116="","",IFERROR(INDEX('판매구성'!$D$2:$D$501,MATCH(A116,'판매구성'!$A$2:$A$501,0)),""))</f>
        <v/>
      </c>
      <c r="D116" s="6" t="n"/>
      <c r="E116" s="6" t="n"/>
      <c r="F116" s="6" t="n"/>
      <c r="G116" s="6" t="n"/>
      <c r="H116" s="6" t="n"/>
      <c r="I116" s="6" t="n"/>
      <c r="J116" s="6" t="n"/>
      <c r="K116" s="6" t="n"/>
    </row>
    <row r="117">
      <c r="B117" s="2">
        <f>IF(A117="","",IFERROR(INDEX('판매구성'!$B$2:$B$501,MATCH(A117,'판매구성'!$A$2:$A$501,0)),""))</f>
        <v/>
      </c>
      <c r="C117" s="4">
        <f>IF(A117="","",IFERROR(INDEX('판매구성'!$D$2:$D$501,MATCH(A117,'판매구성'!$A$2:$A$501,0)),""))</f>
        <v/>
      </c>
      <c r="D117" s="6" t="n"/>
      <c r="E117" s="6" t="n"/>
      <c r="F117" s="6" t="n"/>
      <c r="G117" s="6" t="n"/>
      <c r="H117" s="6" t="n"/>
      <c r="I117" s="6" t="n"/>
      <c r="J117" s="6" t="n"/>
      <c r="K117" s="6" t="n"/>
    </row>
    <row r="118">
      <c r="B118" s="2">
        <f>IF(A118="","",IFERROR(INDEX('판매구성'!$B$2:$B$501,MATCH(A118,'판매구성'!$A$2:$A$501,0)),""))</f>
        <v/>
      </c>
      <c r="C118" s="4">
        <f>IF(A118="","",IFERROR(INDEX('판매구성'!$D$2:$D$501,MATCH(A118,'판매구성'!$A$2:$A$501,0)),""))</f>
        <v/>
      </c>
      <c r="D118" s="6" t="n"/>
      <c r="E118" s="6" t="n"/>
      <c r="F118" s="6" t="n"/>
      <c r="G118" s="6" t="n"/>
      <c r="H118" s="6" t="n"/>
      <c r="I118" s="6" t="n"/>
      <c r="J118" s="6" t="n"/>
      <c r="K118" s="6" t="n"/>
    </row>
    <row r="119">
      <c r="B119" s="2">
        <f>IF(A119="","",IFERROR(INDEX('판매구성'!$B$2:$B$501,MATCH(A119,'판매구성'!$A$2:$A$501,0)),""))</f>
        <v/>
      </c>
      <c r="C119" s="4">
        <f>IF(A119="","",IFERROR(INDEX('판매구성'!$D$2:$D$501,MATCH(A119,'판매구성'!$A$2:$A$501,0)),""))</f>
        <v/>
      </c>
      <c r="D119" s="6" t="n"/>
      <c r="E119" s="6" t="n"/>
      <c r="F119" s="6" t="n"/>
      <c r="G119" s="6" t="n"/>
      <c r="H119" s="6" t="n"/>
      <c r="I119" s="6" t="n"/>
      <c r="J119" s="6" t="n"/>
      <c r="K119" s="6" t="n"/>
    </row>
    <row r="120">
      <c r="B120" s="2">
        <f>IF(A120="","",IFERROR(INDEX('판매구성'!$B$2:$B$501,MATCH(A120,'판매구성'!$A$2:$A$501,0)),""))</f>
        <v/>
      </c>
      <c r="C120" s="4">
        <f>IF(A120="","",IFERROR(INDEX('판매구성'!$D$2:$D$501,MATCH(A120,'판매구성'!$A$2:$A$501,0)),""))</f>
        <v/>
      </c>
      <c r="D120" s="6" t="n"/>
      <c r="E120" s="6" t="n"/>
      <c r="F120" s="6" t="n"/>
      <c r="G120" s="6" t="n"/>
      <c r="H120" s="6" t="n"/>
      <c r="I120" s="6" t="n"/>
      <c r="J120" s="6" t="n"/>
      <c r="K120" s="6" t="n"/>
    </row>
    <row r="121">
      <c r="B121" s="2">
        <f>IF(A121="","",IFERROR(INDEX('판매구성'!$B$2:$B$501,MATCH(A121,'판매구성'!$A$2:$A$501,0)),""))</f>
        <v/>
      </c>
      <c r="C121" s="4">
        <f>IF(A121="","",IFERROR(INDEX('판매구성'!$D$2:$D$501,MATCH(A121,'판매구성'!$A$2:$A$501,0)),""))</f>
        <v/>
      </c>
      <c r="D121" s="6" t="n"/>
      <c r="E121" s="6" t="n"/>
      <c r="F121" s="6" t="n"/>
      <c r="G121" s="6" t="n"/>
      <c r="H121" s="6" t="n"/>
      <c r="I121" s="6" t="n"/>
      <c r="J121" s="6" t="n"/>
      <c r="K121" s="6" t="n"/>
    </row>
    <row r="122">
      <c r="B122" s="2">
        <f>IF(A122="","",IFERROR(INDEX('판매구성'!$B$2:$B$501,MATCH(A122,'판매구성'!$A$2:$A$501,0)),""))</f>
        <v/>
      </c>
      <c r="C122" s="4">
        <f>IF(A122="","",IFERROR(INDEX('판매구성'!$D$2:$D$501,MATCH(A122,'판매구성'!$A$2:$A$501,0)),""))</f>
        <v/>
      </c>
      <c r="D122" s="6" t="n"/>
      <c r="E122" s="6" t="n"/>
      <c r="F122" s="6" t="n"/>
      <c r="G122" s="6" t="n"/>
      <c r="H122" s="6" t="n"/>
      <c r="I122" s="6" t="n"/>
      <c r="J122" s="6" t="n"/>
      <c r="K122" s="6" t="n"/>
    </row>
    <row r="123">
      <c r="B123" s="2">
        <f>IF(A123="","",IFERROR(INDEX('판매구성'!$B$2:$B$501,MATCH(A123,'판매구성'!$A$2:$A$501,0)),""))</f>
        <v/>
      </c>
      <c r="C123" s="4">
        <f>IF(A123="","",IFERROR(INDEX('판매구성'!$D$2:$D$501,MATCH(A123,'판매구성'!$A$2:$A$501,0)),""))</f>
        <v/>
      </c>
      <c r="D123" s="6" t="n"/>
      <c r="E123" s="6" t="n"/>
      <c r="F123" s="6" t="n"/>
      <c r="G123" s="6" t="n"/>
      <c r="H123" s="6" t="n"/>
      <c r="I123" s="6" t="n"/>
      <c r="J123" s="6" t="n"/>
      <c r="K123" s="6" t="n"/>
    </row>
    <row r="124">
      <c r="B124" s="2">
        <f>IF(A124="","",IFERROR(INDEX('판매구성'!$B$2:$B$501,MATCH(A124,'판매구성'!$A$2:$A$501,0)),""))</f>
        <v/>
      </c>
      <c r="C124" s="4">
        <f>IF(A124="","",IFERROR(INDEX('판매구성'!$D$2:$D$501,MATCH(A124,'판매구성'!$A$2:$A$501,0)),""))</f>
        <v/>
      </c>
      <c r="D124" s="6" t="n"/>
      <c r="E124" s="6" t="n"/>
      <c r="F124" s="6" t="n"/>
      <c r="G124" s="6" t="n"/>
      <c r="H124" s="6" t="n"/>
      <c r="I124" s="6" t="n"/>
      <c r="J124" s="6" t="n"/>
      <c r="K124" s="6" t="n"/>
    </row>
    <row r="125">
      <c r="B125" s="2">
        <f>IF(A125="","",IFERROR(INDEX('판매구성'!$B$2:$B$501,MATCH(A125,'판매구성'!$A$2:$A$501,0)),""))</f>
        <v/>
      </c>
      <c r="C125" s="4">
        <f>IF(A125="","",IFERROR(INDEX('판매구성'!$D$2:$D$501,MATCH(A125,'판매구성'!$A$2:$A$501,0)),""))</f>
        <v/>
      </c>
      <c r="D125" s="6" t="n"/>
      <c r="E125" s="6" t="n"/>
      <c r="F125" s="6" t="n"/>
      <c r="G125" s="6" t="n"/>
      <c r="H125" s="6" t="n"/>
      <c r="I125" s="6" t="n"/>
      <c r="J125" s="6" t="n"/>
      <c r="K125" s="6" t="n"/>
    </row>
    <row r="126">
      <c r="B126" s="2">
        <f>IF(A126="","",IFERROR(INDEX('판매구성'!$B$2:$B$501,MATCH(A126,'판매구성'!$A$2:$A$501,0)),""))</f>
        <v/>
      </c>
      <c r="C126" s="4">
        <f>IF(A126="","",IFERROR(INDEX('판매구성'!$D$2:$D$501,MATCH(A126,'판매구성'!$A$2:$A$501,0)),""))</f>
        <v/>
      </c>
      <c r="D126" s="6" t="n"/>
      <c r="E126" s="6" t="n"/>
      <c r="F126" s="6" t="n"/>
      <c r="G126" s="6" t="n"/>
      <c r="H126" s="6" t="n"/>
      <c r="I126" s="6" t="n"/>
      <c r="J126" s="6" t="n"/>
      <c r="K126" s="6" t="n"/>
    </row>
    <row r="127">
      <c r="B127" s="2">
        <f>IF(A127="","",IFERROR(INDEX('판매구성'!$B$2:$B$501,MATCH(A127,'판매구성'!$A$2:$A$501,0)),""))</f>
        <v/>
      </c>
      <c r="C127" s="4">
        <f>IF(A127="","",IFERROR(INDEX('판매구성'!$D$2:$D$501,MATCH(A127,'판매구성'!$A$2:$A$501,0)),""))</f>
        <v/>
      </c>
      <c r="D127" s="6" t="n"/>
      <c r="E127" s="6" t="n"/>
      <c r="F127" s="6" t="n"/>
      <c r="G127" s="6" t="n"/>
      <c r="H127" s="6" t="n"/>
      <c r="I127" s="6" t="n"/>
      <c r="J127" s="6" t="n"/>
      <c r="K127" s="6" t="n"/>
    </row>
    <row r="128">
      <c r="B128" s="2">
        <f>IF(A128="","",IFERROR(INDEX('판매구성'!$B$2:$B$501,MATCH(A128,'판매구성'!$A$2:$A$501,0)),""))</f>
        <v/>
      </c>
      <c r="C128" s="4">
        <f>IF(A128="","",IFERROR(INDEX('판매구성'!$D$2:$D$501,MATCH(A128,'판매구성'!$A$2:$A$501,0)),""))</f>
        <v/>
      </c>
      <c r="D128" s="6" t="n"/>
      <c r="E128" s="6" t="n"/>
      <c r="F128" s="6" t="n"/>
      <c r="G128" s="6" t="n"/>
      <c r="H128" s="6" t="n"/>
      <c r="I128" s="6" t="n"/>
      <c r="J128" s="6" t="n"/>
      <c r="K128" s="6" t="n"/>
    </row>
    <row r="129">
      <c r="B129" s="2">
        <f>IF(A129="","",IFERROR(INDEX('판매구성'!$B$2:$B$501,MATCH(A129,'판매구성'!$A$2:$A$501,0)),""))</f>
        <v/>
      </c>
      <c r="C129" s="4">
        <f>IF(A129="","",IFERROR(INDEX('판매구성'!$D$2:$D$501,MATCH(A129,'판매구성'!$A$2:$A$501,0)),""))</f>
        <v/>
      </c>
      <c r="D129" s="6" t="n"/>
      <c r="E129" s="6" t="n"/>
      <c r="F129" s="6" t="n"/>
      <c r="G129" s="6" t="n"/>
      <c r="H129" s="6" t="n"/>
      <c r="I129" s="6" t="n"/>
      <c r="J129" s="6" t="n"/>
      <c r="K129" s="6" t="n"/>
    </row>
    <row r="130">
      <c r="B130" s="2">
        <f>IF(A130="","",IFERROR(INDEX('판매구성'!$B$2:$B$501,MATCH(A130,'판매구성'!$A$2:$A$501,0)),""))</f>
        <v/>
      </c>
      <c r="C130" s="4">
        <f>IF(A130="","",IFERROR(INDEX('판매구성'!$D$2:$D$501,MATCH(A130,'판매구성'!$A$2:$A$501,0)),""))</f>
        <v/>
      </c>
      <c r="D130" s="6" t="n"/>
      <c r="E130" s="6" t="n"/>
      <c r="F130" s="6" t="n"/>
      <c r="G130" s="6" t="n"/>
      <c r="H130" s="6" t="n"/>
      <c r="I130" s="6" t="n"/>
      <c r="J130" s="6" t="n"/>
      <c r="K130" s="6" t="n"/>
    </row>
    <row r="131">
      <c r="B131" s="2">
        <f>IF(A131="","",IFERROR(INDEX('판매구성'!$B$2:$B$501,MATCH(A131,'판매구성'!$A$2:$A$501,0)),""))</f>
        <v/>
      </c>
      <c r="C131" s="4">
        <f>IF(A131="","",IFERROR(INDEX('판매구성'!$D$2:$D$501,MATCH(A131,'판매구성'!$A$2:$A$501,0)),""))</f>
        <v/>
      </c>
      <c r="D131" s="6" t="n"/>
      <c r="E131" s="6" t="n"/>
      <c r="F131" s="6" t="n"/>
      <c r="G131" s="6" t="n"/>
      <c r="H131" s="6" t="n"/>
      <c r="I131" s="6" t="n"/>
      <c r="J131" s="6" t="n"/>
      <c r="K131" s="6" t="n"/>
    </row>
    <row r="132">
      <c r="B132" s="2">
        <f>IF(A132="","",IFERROR(INDEX('판매구성'!$B$2:$B$501,MATCH(A132,'판매구성'!$A$2:$A$501,0)),""))</f>
        <v/>
      </c>
      <c r="C132" s="4">
        <f>IF(A132="","",IFERROR(INDEX('판매구성'!$D$2:$D$501,MATCH(A132,'판매구성'!$A$2:$A$501,0)),""))</f>
        <v/>
      </c>
      <c r="D132" s="6" t="n"/>
      <c r="E132" s="6" t="n"/>
      <c r="F132" s="6" t="n"/>
      <c r="G132" s="6" t="n"/>
      <c r="H132" s="6" t="n"/>
      <c r="I132" s="6" t="n"/>
      <c r="J132" s="6" t="n"/>
      <c r="K132" s="6" t="n"/>
    </row>
    <row r="133">
      <c r="B133" s="2">
        <f>IF(A133="","",IFERROR(INDEX('판매구성'!$B$2:$B$501,MATCH(A133,'판매구성'!$A$2:$A$501,0)),""))</f>
        <v/>
      </c>
      <c r="C133" s="4">
        <f>IF(A133="","",IFERROR(INDEX('판매구성'!$D$2:$D$501,MATCH(A133,'판매구성'!$A$2:$A$501,0)),""))</f>
        <v/>
      </c>
      <c r="D133" s="6" t="n"/>
      <c r="E133" s="6" t="n"/>
      <c r="F133" s="6" t="n"/>
      <c r="G133" s="6" t="n"/>
      <c r="H133" s="6" t="n"/>
      <c r="I133" s="6" t="n"/>
      <c r="J133" s="6" t="n"/>
      <c r="K133" s="6" t="n"/>
    </row>
    <row r="134">
      <c r="B134" s="2">
        <f>IF(A134="","",IFERROR(INDEX('판매구성'!$B$2:$B$501,MATCH(A134,'판매구성'!$A$2:$A$501,0)),""))</f>
        <v/>
      </c>
      <c r="C134" s="4">
        <f>IF(A134="","",IFERROR(INDEX('판매구성'!$D$2:$D$501,MATCH(A134,'판매구성'!$A$2:$A$501,0)),""))</f>
        <v/>
      </c>
      <c r="D134" s="6" t="n"/>
      <c r="E134" s="6" t="n"/>
      <c r="F134" s="6" t="n"/>
      <c r="G134" s="6" t="n"/>
      <c r="H134" s="6" t="n"/>
      <c r="I134" s="6" t="n"/>
      <c r="J134" s="6" t="n"/>
      <c r="K134" s="6" t="n"/>
    </row>
    <row r="135">
      <c r="B135" s="2">
        <f>IF(A135="","",IFERROR(INDEX('판매구성'!$B$2:$B$501,MATCH(A135,'판매구성'!$A$2:$A$501,0)),""))</f>
        <v/>
      </c>
      <c r="C135" s="4">
        <f>IF(A135="","",IFERROR(INDEX('판매구성'!$D$2:$D$501,MATCH(A135,'판매구성'!$A$2:$A$501,0)),""))</f>
        <v/>
      </c>
      <c r="D135" s="6" t="n"/>
      <c r="E135" s="6" t="n"/>
      <c r="F135" s="6" t="n"/>
      <c r="G135" s="6" t="n"/>
      <c r="H135" s="6" t="n"/>
      <c r="I135" s="6" t="n"/>
      <c r="J135" s="6" t="n"/>
      <c r="K135" s="6" t="n"/>
    </row>
    <row r="136">
      <c r="B136" s="2">
        <f>IF(A136="","",IFERROR(INDEX('판매구성'!$B$2:$B$501,MATCH(A136,'판매구성'!$A$2:$A$501,0)),""))</f>
        <v/>
      </c>
      <c r="C136" s="4">
        <f>IF(A136="","",IFERROR(INDEX('판매구성'!$D$2:$D$501,MATCH(A136,'판매구성'!$A$2:$A$501,0)),""))</f>
        <v/>
      </c>
      <c r="D136" s="6" t="n"/>
      <c r="E136" s="6" t="n"/>
      <c r="F136" s="6" t="n"/>
      <c r="G136" s="6" t="n"/>
      <c r="H136" s="6" t="n"/>
      <c r="I136" s="6" t="n"/>
      <c r="J136" s="6" t="n"/>
      <c r="K136" s="6" t="n"/>
    </row>
    <row r="137">
      <c r="B137" s="2">
        <f>IF(A137="","",IFERROR(INDEX('판매구성'!$B$2:$B$501,MATCH(A137,'판매구성'!$A$2:$A$501,0)),""))</f>
        <v/>
      </c>
      <c r="C137" s="4">
        <f>IF(A137="","",IFERROR(INDEX('판매구성'!$D$2:$D$501,MATCH(A137,'판매구성'!$A$2:$A$501,0)),""))</f>
        <v/>
      </c>
      <c r="D137" s="6" t="n"/>
      <c r="E137" s="6" t="n"/>
      <c r="F137" s="6" t="n"/>
      <c r="G137" s="6" t="n"/>
      <c r="H137" s="6" t="n"/>
      <c r="I137" s="6" t="n"/>
      <c r="J137" s="6" t="n"/>
      <c r="K137" s="6" t="n"/>
    </row>
    <row r="138">
      <c r="B138" s="2">
        <f>IF(A138="","",IFERROR(INDEX('판매구성'!$B$2:$B$501,MATCH(A138,'판매구성'!$A$2:$A$501,0)),""))</f>
        <v/>
      </c>
      <c r="C138" s="4">
        <f>IF(A138="","",IFERROR(INDEX('판매구성'!$D$2:$D$501,MATCH(A138,'판매구성'!$A$2:$A$501,0)),""))</f>
        <v/>
      </c>
      <c r="D138" s="6" t="n"/>
      <c r="E138" s="6" t="n"/>
      <c r="F138" s="6" t="n"/>
      <c r="G138" s="6" t="n"/>
      <c r="H138" s="6" t="n"/>
      <c r="I138" s="6" t="n"/>
      <c r="J138" s="6" t="n"/>
      <c r="K138" s="6" t="n"/>
    </row>
    <row r="139">
      <c r="B139" s="2">
        <f>IF(A139="","",IFERROR(INDEX('판매구성'!$B$2:$B$501,MATCH(A139,'판매구성'!$A$2:$A$501,0)),""))</f>
        <v/>
      </c>
      <c r="C139" s="4">
        <f>IF(A139="","",IFERROR(INDEX('판매구성'!$D$2:$D$501,MATCH(A139,'판매구성'!$A$2:$A$501,0)),""))</f>
        <v/>
      </c>
      <c r="D139" s="6" t="n"/>
      <c r="E139" s="6" t="n"/>
      <c r="F139" s="6" t="n"/>
      <c r="G139" s="6" t="n"/>
      <c r="H139" s="6" t="n"/>
      <c r="I139" s="6" t="n"/>
      <c r="J139" s="6" t="n"/>
      <c r="K139" s="6" t="n"/>
    </row>
    <row r="140">
      <c r="B140" s="2">
        <f>IF(A140="","",IFERROR(INDEX('판매구성'!$B$2:$B$501,MATCH(A140,'판매구성'!$A$2:$A$501,0)),""))</f>
        <v/>
      </c>
      <c r="C140" s="4">
        <f>IF(A140="","",IFERROR(INDEX('판매구성'!$D$2:$D$501,MATCH(A140,'판매구성'!$A$2:$A$501,0)),""))</f>
        <v/>
      </c>
      <c r="D140" s="6" t="n"/>
      <c r="E140" s="6" t="n"/>
      <c r="F140" s="6" t="n"/>
      <c r="G140" s="6" t="n"/>
      <c r="H140" s="6" t="n"/>
      <c r="I140" s="6" t="n"/>
      <c r="J140" s="6" t="n"/>
      <c r="K140" s="6" t="n"/>
    </row>
    <row r="141">
      <c r="B141" s="2">
        <f>IF(A141="","",IFERROR(INDEX('판매구성'!$B$2:$B$501,MATCH(A141,'판매구성'!$A$2:$A$501,0)),""))</f>
        <v/>
      </c>
      <c r="C141" s="4">
        <f>IF(A141="","",IFERROR(INDEX('판매구성'!$D$2:$D$501,MATCH(A141,'판매구성'!$A$2:$A$501,0)),""))</f>
        <v/>
      </c>
      <c r="D141" s="6" t="n"/>
      <c r="E141" s="6" t="n"/>
      <c r="F141" s="6" t="n"/>
      <c r="G141" s="6" t="n"/>
      <c r="H141" s="6" t="n"/>
      <c r="I141" s="6" t="n"/>
      <c r="J141" s="6" t="n"/>
      <c r="K141" s="6" t="n"/>
    </row>
    <row r="142">
      <c r="B142" s="2">
        <f>IF(A142="","",IFERROR(INDEX('판매구성'!$B$2:$B$501,MATCH(A142,'판매구성'!$A$2:$A$501,0)),""))</f>
        <v/>
      </c>
      <c r="C142" s="4">
        <f>IF(A142="","",IFERROR(INDEX('판매구성'!$D$2:$D$501,MATCH(A142,'판매구성'!$A$2:$A$501,0)),""))</f>
        <v/>
      </c>
      <c r="D142" s="6" t="n"/>
      <c r="E142" s="6" t="n"/>
      <c r="F142" s="6" t="n"/>
      <c r="G142" s="6" t="n"/>
      <c r="H142" s="6" t="n"/>
      <c r="I142" s="6" t="n"/>
      <c r="J142" s="6" t="n"/>
      <c r="K142" s="6" t="n"/>
    </row>
    <row r="143">
      <c r="B143" s="2">
        <f>IF(A143="","",IFERROR(INDEX('판매구성'!$B$2:$B$501,MATCH(A143,'판매구성'!$A$2:$A$501,0)),""))</f>
        <v/>
      </c>
      <c r="C143" s="4">
        <f>IF(A143="","",IFERROR(INDEX('판매구성'!$D$2:$D$501,MATCH(A143,'판매구성'!$A$2:$A$501,0)),""))</f>
        <v/>
      </c>
      <c r="D143" s="6" t="n"/>
      <c r="E143" s="6" t="n"/>
      <c r="F143" s="6" t="n"/>
      <c r="G143" s="6" t="n"/>
      <c r="H143" s="6" t="n"/>
      <c r="I143" s="6" t="n"/>
      <c r="J143" s="6" t="n"/>
      <c r="K143" s="6" t="n"/>
    </row>
    <row r="144">
      <c r="B144" s="2">
        <f>IF(A144="","",IFERROR(INDEX('판매구성'!$B$2:$B$501,MATCH(A144,'판매구성'!$A$2:$A$501,0)),""))</f>
        <v/>
      </c>
      <c r="C144" s="4">
        <f>IF(A144="","",IFERROR(INDEX('판매구성'!$D$2:$D$501,MATCH(A144,'판매구성'!$A$2:$A$501,0)),""))</f>
        <v/>
      </c>
      <c r="D144" s="6" t="n"/>
      <c r="E144" s="6" t="n"/>
      <c r="F144" s="6" t="n"/>
      <c r="G144" s="6" t="n"/>
      <c r="H144" s="6" t="n"/>
      <c r="I144" s="6" t="n"/>
      <c r="J144" s="6" t="n"/>
      <c r="K144" s="6" t="n"/>
    </row>
    <row r="145">
      <c r="B145" s="2">
        <f>IF(A145="","",IFERROR(INDEX('판매구성'!$B$2:$B$501,MATCH(A145,'판매구성'!$A$2:$A$501,0)),""))</f>
        <v/>
      </c>
      <c r="C145" s="4">
        <f>IF(A145="","",IFERROR(INDEX('판매구성'!$D$2:$D$501,MATCH(A145,'판매구성'!$A$2:$A$501,0)),""))</f>
        <v/>
      </c>
      <c r="D145" s="6" t="n"/>
      <c r="E145" s="6" t="n"/>
      <c r="F145" s="6" t="n"/>
      <c r="G145" s="6" t="n"/>
      <c r="H145" s="6" t="n"/>
      <c r="I145" s="6" t="n"/>
      <c r="J145" s="6" t="n"/>
      <c r="K145" s="6" t="n"/>
    </row>
    <row r="146">
      <c r="B146" s="2">
        <f>IF(A146="","",IFERROR(INDEX('판매구성'!$B$2:$B$501,MATCH(A146,'판매구성'!$A$2:$A$501,0)),""))</f>
        <v/>
      </c>
      <c r="C146" s="4">
        <f>IF(A146="","",IFERROR(INDEX('판매구성'!$D$2:$D$501,MATCH(A146,'판매구성'!$A$2:$A$501,0)),""))</f>
        <v/>
      </c>
      <c r="D146" s="6" t="n"/>
      <c r="E146" s="6" t="n"/>
      <c r="F146" s="6" t="n"/>
      <c r="G146" s="6" t="n"/>
      <c r="H146" s="6" t="n"/>
      <c r="I146" s="6" t="n"/>
      <c r="J146" s="6" t="n"/>
      <c r="K146" s="6" t="n"/>
    </row>
    <row r="147">
      <c r="B147" s="2">
        <f>IF(A147="","",IFERROR(INDEX('판매구성'!$B$2:$B$501,MATCH(A147,'판매구성'!$A$2:$A$501,0)),""))</f>
        <v/>
      </c>
      <c r="C147" s="4">
        <f>IF(A147="","",IFERROR(INDEX('판매구성'!$D$2:$D$501,MATCH(A147,'판매구성'!$A$2:$A$501,0)),""))</f>
        <v/>
      </c>
      <c r="D147" s="6" t="n"/>
      <c r="E147" s="6" t="n"/>
      <c r="F147" s="6" t="n"/>
      <c r="G147" s="6" t="n"/>
      <c r="H147" s="6" t="n"/>
      <c r="I147" s="6" t="n"/>
      <c r="J147" s="6" t="n"/>
      <c r="K147" s="6" t="n"/>
    </row>
    <row r="148">
      <c r="B148" s="2">
        <f>IF(A148="","",IFERROR(INDEX('판매구성'!$B$2:$B$501,MATCH(A148,'판매구성'!$A$2:$A$501,0)),""))</f>
        <v/>
      </c>
      <c r="C148" s="4">
        <f>IF(A148="","",IFERROR(INDEX('판매구성'!$D$2:$D$501,MATCH(A148,'판매구성'!$A$2:$A$501,0)),""))</f>
        <v/>
      </c>
      <c r="D148" s="6" t="n"/>
      <c r="E148" s="6" t="n"/>
      <c r="F148" s="6" t="n"/>
      <c r="G148" s="6" t="n"/>
      <c r="H148" s="6" t="n"/>
      <c r="I148" s="6" t="n"/>
      <c r="J148" s="6" t="n"/>
      <c r="K148" s="6" t="n"/>
    </row>
    <row r="149">
      <c r="B149" s="2">
        <f>IF(A149="","",IFERROR(INDEX('판매구성'!$B$2:$B$501,MATCH(A149,'판매구성'!$A$2:$A$501,0)),""))</f>
        <v/>
      </c>
      <c r="C149" s="4">
        <f>IF(A149="","",IFERROR(INDEX('판매구성'!$D$2:$D$501,MATCH(A149,'판매구성'!$A$2:$A$501,0)),""))</f>
        <v/>
      </c>
      <c r="D149" s="6" t="n"/>
      <c r="E149" s="6" t="n"/>
      <c r="F149" s="6" t="n"/>
      <c r="G149" s="6" t="n"/>
      <c r="H149" s="6" t="n"/>
      <c r="I149" s="6" t="n"/>
      <c r="J149" s="6" t="n"/>
      <c r="K149" s="6" t="n"/>
    </row>
    <row r="150">
      <c r="B150" s="2">
        <f>IF(A150="","",IFERROR(INDEX('판매구성'!$B$2:$B$501,MATCH(A150,'판매구성'!$A$2:$A$501,0)),""))</f>
        <v/>
      </c>
      <c r="C150" s="4">
        <f>IF(A150="","",IFERROR(INDEX('판매구성'!$D$2:$D$501,MATCH(A150,'판매구성'!$A$2:$A$501,0)),""))</f>
        <v/>
      </c>
      <c r="D150" s="6" t="n"/>
      <c r="E150" s="6" t="n"/>
      <c r="F150" s="6" t="n"/>
      <c r="G150" s="6" t="n"/>
      <c r="H150" s="6" t="n"/>
      <c r="I150" s="6" t="n"/>
      <c r="J150" s="6" t="n"/>
      <c r="K150" s="6" t="n"/>
    </row>
    <row r="151">
      <c r="B151" s="2">
        <f>IF(A151="","",IFERROR(INDEX('판매구성'!$B$2:$B$501,MATCH(A151,'판매구성'!$A$2:$A$501,0)),""))</f>
        <v/>
      </c>
      <c r="C151" s="4">
        <f>IF(A151="","",IFERROR(INDEX('판매구성'!$D$2:$D$501,MATCH(A151,'판매구성'!$A$2:$A$501,0)),""))</f>
        <v/>
      </c>
      <c r="D151" s="6" t="n"/>
      <c r="E151" s="6" t="n"/>
      <c r="F151" s="6" t="n"/>
      <c r="G151" s="6" t="n"/>
      <c r="H151" s="6" t="n"/>
      <c r="I151" s="6" t="n"/>
      <c r="J151" s="6" t="n"/>
      <c r="K151" s="6" t="n"/>
    </row>
    <row r="152">
      <c r="B152" s="2">
        <f>IF(A152="","",IFERROR(INDEX('판매구성'!$B$2:$B$501,MATCH(A152,'판매구성'!$A$2:$A$501,0)),""))</f>
        <v/>
      </c>
      <c r="C152" s="4">
        <f>IF(A152="","",IFERROR(INDEX('판매구성'!$D$2:$D$501,MATCH(A152,'판매구성'!$A$2:$A$501,0)),""))</f>
        <v/>
      </c>
      <c r="D152" s="6" t="n"/>
      <c r="E152" s="6" t="n"/>
      <c r="F152" s="6" t="n"/>
      <c r="G152" s="6" t="n"/>
      <c r="H152" s="6" t="n"/>
      <c r="I152" s="6" t="n"/>
      <c r="J152" s="6" t="n"/>
      <c r="K152" s="6" t="n"/>
    </row>
    <row r="153">
      <c r="B153" s="2">
        <f>IF(A153="","",IFERROR(INDEX('판매구성'!$B$2:$B$501,MATCH(A153,'판매구성'!$A$2:$A$501,0)),""))</f>
        <v/>
      </c>
      <c r="C153" s="4">
        <f>IF(A153="","",IFERROR(INDEX('판매구성'!$D$2:$D$501,MATCH(A153,'판매구성'!$A$2:$A$501,0)),""))</f>
        <v/>
      </c>
      <c r="D153" s="6" t="n"/>
      <c r="E153" s="6" t="n"/>
      <c r="F153" s="6" t="n"/>
      <c r="G153" s="6" t="n"/>
      <c r="H153" s="6" t="n"/>
      <c r="I153" s="6" t="n"/>
      <c r="J153" s="6" t="n"/>
      <c r="K153" s="6" t="n"/>
    </row>
    <row r="154">
      <c r="B154" s="2">
        <f>IF(A154="","",IFERROR(INDEX('판매구성'!$B$2:$B$501,MATCH(A154,'판매구성'!$A$2:$A$501,0)),""))</f>
        <v/>
      </c>
      <c r="C154" s="4">
        <f>IF(A154="","",IFERROR(INDEX('판매구성'!$D$2:$D$501,MATCH(A154,'판매구성'!$A$2:$A$501,0)),""))</f>
        <v/>
      </c>
      <c r="D154" s="6" t="n"/>
      <c r="E154" s="6" t="n"/>
      <c r="F154" s="6" t="n"/>
      <c r="G154" s="6" t="n"/>
      <c r="H154" s="6" t="n"/>
      <c r="I154" s="6" t="n"/>
      <c r="J154" s="6" t="n"/>
      <c r="K154" s="6" t="n"/>
    </row>
    <row r="155">
      <c r="B155" s="2">
        <f>IF(A155="","",IFERROR(INDEX('판매구성'!$B$2:$B$501,MATCH(A155,'판매구성'!$A$2:$A$501,0)),""))</f>
        <v/>
      </c>
      <c r="C155" s="4">
        <f>IF(A155="","",IFERROR(INDEX('판매구성'!$D$2:$D$501,MATCH(A155,'판매구성'!$A$2:$A$501,0)),""))</f>
        <v/>
      </c>
      <c r="D155" s="6" t="n"/>
      <c r="E155" s="6" t="n"/>
      <c r="F155" s="6" t="n"/>
      <c r="G155" s="6" t="n"/>
      <c r="H155" s="6" t="n"/>
      <c r="I155" s="6" t="n"/>
      <c r="J155" s="6" t="n"/>
      <c r="K155" s="6" t="n"/>
    </row>
    <row r="156">
      <c r="B156" s="2">
        <f>IF(A156="","",IFERROR(INDEX('판매구성'!$B$2:$B$501,MATCH(A156,'판매구성'!$A$2:$A$501,0)),""))</f>
        <v/>
      </c>
      <c r="C156" s="4">
        <f>IF(A156="","",IFERROR(INDEX('판매구성'!$D$2:$D$501,MATCH(A156,'판매구성'!$A$2:$A$501,0)),""))</f>
        <v/>
      </c>
      <c r="D156" s="6" t="n"/>
      <c r="E156" s="6" t="n"/>
      <c r="F156" s="6" t="n"/>
      <c r="G156" s="6" t="n"/>
      <c r="H156" s="6" t="n"/>
      <c r="I156" s="6" t="n"/>
      <c r="J156" s="6" t="n"/>
      <c r="K156" s="6" t="n"/>
    </row>
    <row r="157">
      <c r="B157" s="2">
        <f>IF(A157="","",IFERROR(INDEX('판매구성'!$B$2:$B$501,MATCH(A157,'판매구성'!$A$2:$A$501,0)),""))</f>
        <v/>
      </c>
      <c r="C157" s="4">
        <f>IF(A157="","",IFERROR(INDEX('판매구성'!$D$2:$D$501,MATCH(A157,'판매구성'!$A$2:$A$501,0)),""))</f>
        <v/>
      </c>
      <c r="D157" s="6" t="n"/>
      <c r="E157" s="6" t="n"/>
      <c r="F157" s="6" t="n"/>
      <c r="G157" s="6" t="n"/>
      <c r="H157" s="6" t="n"/>
      <c r="I157" s="6" t="n"/>
      <c r="J157" s="6" t="n"/>
      <c r="K157" s="6" t="n"/>
    </row>
    <row r="158">
      <c r="B158" s="2">
        <f>IF(A158="","",IFERROR(INDEX('판매구성'!$B$2:$B$501,MATCH(A158,'판매구성'!$A$2:$A$501,0)),""))</f>
        <v/>
      </c>
      <c r="C158" s="4">
        <f>IF(A158="","",IFERROR(INDEX('판매구성'!$D$2:$D$501,MATCH(A158,'판매구성'!$A$2:$A$501,0)),""))</f>
        <v/>
      </c>
      <c r="D158" s="6" t="n"/>
      <c r="E158" s="6" t="n"/>
      <c r="F158" s="6" t="n"/>
      <c r="G158" s="6" t="n"/>
      <c r="H158" s="6" t="n"/>
      <c r="I158" s="6" t="n"/>
      <c r="J158" s="6" t="n"/>
      <c r="K158" s="6" t="n"/>
    </row>
    <row r="159">
      <c r="B159" s="2">
        <f>IF(A159="","",IFERROR(INDEX('판매구성'!$B$2:$B$501,MATCH(A159,'판매구성'!$A$2:$A$501,0)),""))</f>
        <v/>
      </c>
      <c r="C159" s="4">
        <f>IF(A159="","",IFERROR(INDEX('판매구성'!$D$2:$D$501,MATCH(A159,'판매구성'!$A$2:$A$501,0)),""))</f>
        <v/>
      </c>
      <c r="D159" s="6" t="n"/>
      <c r="E159" s="6" t="n"/>
      <c r="F159" s="6" t="n"/>
      <c r="G159" s="6" t="n"/>
      <c r="H159" s="6" t="n"/>
      <c r="I159" s="6" t="n"/>
      <c r="J159" s="6" t="n"/>
      <c r="K159" s="6" t="n"/>
    </row>
    <row r="160">
      <c r="B160" s="2">
        <f>IF(A160="","",IFERROR(INDEX('판매구성'!$B$2:$B$501,MATCH(A160,'판매구성'!$A$2:$A$501,0)),""))</f>
        <v/>
      </c>
      <c r="C160" s="4">
        <f>IF(A160="","",IFERROR(INDEX('판매구성'!$D$2:$D$501,MATCH(A160,'판매구성'!$A$2:$A$501,0)),""))</f>
        <v/>
      </c>
      <c r="D160" s="6" t="n"/>
      <c r="E160" s="6" t="n"/>
      <c r="F160" s="6" t="n"/>
      <c r="G160" s="6" t="n"/>
      <c r="H160" s="6" t="n"/>
      <c r="I160" s="6" t="n"/>
      <c r="J160" s="6" t="n"/>
      <c r="K160" s="6" t="n"/>
    </row>
    <row r="161">
      <c r="B161" s="2">
        <f>IF(A161="","",IFERROR(INDEX('판매구성'!$B$2:$B$501,MATCH(A161,'판매구성'!$A$2:$A$501,0)),""))</f>
        <v/>
      </c>
      <c r="C161" s="4">
        <f>IF(A161="","",IFERROR(INDEX('판매구성'!$D$2:$D$501,MATCH(A161,'판매구성'!$A$2:$A$501,0)),""))</f>
        <v/>
      </c>
      <c r="D161" s="6" t="n"/>
      <c r="E161" s="6" t="n"/>
      <c r="F161" s="6" t="n"/>
      <c r="G161" s="6" t="n"/>
      <c r="H161" s="6" t="n"/>
      <c r="I161" s="6" t="n"/>
      <c r="J161" s="6" t="n"/>
      <c r="K161" s="6" t="n"/>
    </row>
    <row r="162">
      <c r="B162" s="2">
        <f>IF(A162="","",IFERROR(INDEX('판매구성'!$B$2:$B$501,MATCH(A162,'판매구성'!$A$2:$A$501,0)),""))</f>
        <v/>
      </c>
      <c r="C162" s="4">
        <f>IF(A162="","",IFERROR(INDEX('판매구성'!$D$2:$D$501,MATCH(A162,'판매구성'!$A$2:$A$501,0)),""))</f>
        <v/>
      </c>
      <c r="D162" s="6" t="n"/>
      <c r="E162" s="6" t="n"/>
      <c r="F162" s="6" t="n"/>
      <c r="G162" s="6" t="n"/>
      <c r="H162" s="6" t="n"/>
      <c r="I162" s="6" t="n"/>
      <c r="J162" s="6" t="n"/>
      <c r="K162" s="6" t="n"/>
    </row>
    <row r="163">
      <c r="B163" s="2">
        <f>IF(A163="","",IFERROR(INDEX('판매구성'!$B$2:$B$501,MATCH(A163,'판매구성'!$A$2:$A$501,0)),""))</f>
        <v/>
      </c>
      <c r="C163" s="4">
        <f>IF(A163="","",IFERROR(INDEX('판매구성'!$D$2:$D$501,MATCH(A163,'판매구성'!$A$2:$A$501,0)),""))</f>
        <v/>
      </c>
      <c r="D163" s="6" t="n"/>
      <c r="E163" s="6" t="n"/>
      <c r="F163" s="6" t="n"/>
      <c r="G163" s="6" t="n"/>
      <c r="H163" s="6" t="n"/>
      <c r="I163" s="6" t="n"/>
      <c r="J163" s="6" t="n"/>
      <c r="K163" s="6" t="n"/>
    </row>
    <row r="164">
      <c r="B164" s="2">
        <f>IF(A164="","",IFERROR(INDEX('판매구성'!$B$2:$B$501,MATCH(A164,'판매구성'!$A$2:$A$501,0)),""))</f>
        <v/>
      </c>
      <c r="C164" s="4">
        <f>IF(A164="","",IFERROR(INDEX('판매구성'!$D$2:$D$501,MATCH(A164,'판매구성'!$A$2:$A$501,0)),""))</f>
        <v/>
      </c>
      <c r="D164" s="6" t="n"/>
      <c r="E164" s="6" t="n"/>
      <c r="F164" s="6" t="n"/>
      <c r="G164" s="6" t="n"/>
      <c r="H164" s="6" t="n"/>
      <c r="I164" s="6" t="n"/>
      <c r="J164" s="6" t="n"/>
      <c r="K164" s="6" t="n"/>
    </row>
    <row r="165">
      <c r="B165" s="2">
        <f>IF(A165="","",IFERROR(INDEX('판매구성'!$B$2:$B$501,MATCH(A165,'판매구성'!$A$2:$A$501,0)),""))</f>
        <v/>
      </c>
      <c r="C165" s="4">
        <f>IF(A165="","",IFERROR(INDEX('판매구성'!$D$2:$D$501,MATCH(A165,'판매구성'!$A$2:$A$501,0)),""))</f>
        <v/>
      </c>
      <c r="D165" s="6" t="n"/>
      <c r="E165" s="6" t="n"/>
      <c r="F165" s="6" t="n"/>
      <c r="G165" s="6" t="n"/>
      <c r="H165" s="6" t="n"/>
      <c r="I165" s="6" t="n"/>
      <c r="J165" s="6" t="n"/>
      <c r="K165" s="6" t="n"/>
    </row>
    <row r="166">
      <c r="B166" s="2">
        <f>IF(A166="","",IFERROR(INDEX('판매구성'!$B$2:$B$501,MATCH(A166,'판매구성'!$A$2:$A$501,0)),""))</f>
        <v/>
      </c>
      <c r="C166" s="4">
        <f>IF(A166="","",IFERROR(INDEX('판매구성'!$D$2:$D$501,MATCH(A166,'판매구성'!$A$2:$A$501,0)),""))</f>
        <v/>
      </c>
      <c r="D166" s="6" t="n"/>
      <c r="E166" s="6" t="n"/>
      <c r="F166" s="6" t="n"/>
      <c r="G166" s="6" t="n"/>
      <c r="H166" s="6" t="n"/>
      <c r="I166" s="6" t="n"/>
      <c r="J166" s="6" t="n"/>
      <c r="K166" s="6" t="n"/>
    </row>
    <row r="167">
      <c r="B167" s="2">
        <f>IF(A167="","",IFERROR(INDEX('판매구성'!$B$2:$B$501,MATCH(A167,'판매구성'!$A$2:$A$501,0)),""))</f>
        <v/>
      </c>
      <c r="C167" s="4">
        <f>IF(A167="","",IFERROR(INDEX('판매구성'!$D$2:$D$501,MATCH(A167,'판매구성'!$A$2:$A$501,0)),""))</f>
        <v/>
      </c>
      <c r="D167" s="6" t="n"/>
      <c r="E167" s="6" t="n"/>
      <c r="F167" s="6" t="n"/>
      <c r="G167" s="6" t="n"/>
      <c r="H167" s="6" t="n"/>
      <c r="I167" s="6" t="n"/>
      <c r="J167" s="6" t="n"/>
      <c r="K167" s="6" t="n"/>
    </row>
    <row r="168">
      <c r="B168" s="2">
        <f>IF(A168="","",IFERROR(INDEX('판매구성'!$B$2:$B$501,MATCH(A168,'판매구성'!$A$2:$A$501,0)),""))</f>
        <v/>
      </c>
      <c r="C168" s="4">
        <f>IF(A168="","",IFERROR(INDEX('판매구성'!$D$2:$D$501,MATCH(A168,'판매구성'!$A$2:$A$501,0)),""))</f>
        <v/>
      </c>
      <c r="D168" s="6" t="n"/>
      <c r="E168" s="6" t="n"/>
      <c r="F168" s="6" t="n"/>
      <c r="G168" s="6" t="n"/>
      <c r="H168" s="6" t="n"/>
      <c r="I168" s="6" t="n"/>
      <c r="J168" s="6" t="n"/>
      <c r="K168" s="6" t="n"/>
    </row>
    <row r="169">
      <c r="B169" s="2">
        <f>IF(A169="","",IFERROR(INDEX('판매구성'!$B$2:$B$501,MATCH(A169,'판매구성'!$A$2:$A$501,0)),""))</f>
        <v/>
      </c>
      <c r="C169" s="4">
        <f>IF(A169="","",IFERROR(INDEX('판매구성'!$D$2:$D$501,MATCH(A169,'판매구성'!$A$2:$A$501,0)),""))</f>
        <v/>
      </c>
      <c r="D169" s="6" t="n"/>
      <c r="E169" s="6" t="n"/>
      <c r="F169" s="6" t="n"/>
      <c r="G169" s="6" t="n"/>
      <c r="H169" s="6" t="n"/>
      <c r="I169" s="6" t="n"/>
      <c r="J169" s="6" t="n"/>
      <c r="K169" s="6" t="n"/>
    </row>
    <row r="170">
      <c r="B170" s="2">
        <f>IF(A170="","",IFERROR(INDEX('판매구성'!$B$2:$B$501,MATCH(A170,'판매구성'!$A$2:$A$501,0)),""))</f>
        <v/>
      </c>
      <c r="C170" s="4">
        <f>IF(A170="","",IFERROR(INDEX('판매구성'!$D$2:$D$501,MATCH(A170,'판매구성'!$A$2:$A$501,0)),""))</f>
        <v/>
      </c>
      <c r="D170" s="6" t="n"/>
      <c r="E170" s="6" t="n"/>
      <c r="F170" s="6" t="n"/>
      <c r="G170" s="6" t="n"/>
      <c r="H170" s="6" t="n"/>
      <c r="I170" s="6" t="n"/>
      <c r="J170" s="6" t="n"/>
      <c r="K170" s="6" t="n"/>
    </row>
    <row r="171">
      <c r="B171" s="2">
        <f>IF(A171="","",IFERROR(INDEX('판매구성'!$B$2:$B$501,MATCH(A171,'판매구성'!$A$2:$A$501,0)),""))</f>
        <v/>
      </c>
      <c r="C171" s="4">
        <f>IF(A171="","",IFERROR(INDEX('판매구성'!$D$2:$D$501,MATCH(A171,'판매구성'!$A$2:$A$501,0)),""))</f>
        <v/>
      </c>
      <c r="D171" s="6" t="n"/>
      <c r="E171" s="6" t="n"/>
      <c r="F171" s="6" t="n"/>
      <c r="G171" s="6" t="n"/>
      <c r="H171" s="6" t="n"/>
      <c r="I171" s="6" t="n"/>
      <c r="J171" s="6" t="n"/>
      <c r="K171" s="6" t="n"/>
    </row>
    <row r="172">
      <c r="B172" s="2">
        <f>IF(A172="","",IFERROR(INDEX('판매구성'!$B$2:$B$501,MATCH(A172,'판매구성'!$A$2:$A$501,0)),""))</f>
        <v/>
      </c>
      <c r="C172" s="4">
        <f>IF(A172="","",IFERROR(INDEX('판매구성'!$D$2:$D$501,MATCH(A172,'판매구성'!$A$2:$A$501,0)),""))</f>
        <v/>
      </c>
      <c r="D172" s="6" t="n"/>
      <c r="E172" s="6" t="n"/>
      <c r="F172" s="6" t="n"/>
      <c r="G172" s="6" t="n"/>
      <c r="H172" s="6" t="n"/>
      <c r="I172" s="6" t="n"/>
      <c r="J172" s="6" t="n"/>
      <c r="K172" s="6" t="n"/>
    </row>
    <row r="173">
      <c r="B173" s="2">
        <f>IF(A173="","",IFERROR(INDEX('판매구성'!$B$2:$B$501,MATCH(A173,'판매구성'!$A$2:$A$501,0)),""))</f>
        <v/>
      </c>
      <c r="C173" s="4">
        <f>IF(A173="","",IFERROR(INDEX('판매구성'!$D$2:$D$501,MATCH(A173,'판매구성'!$A$2:$A$501,0)),""))</f>
        <v/>
      </c>
      <c r="D173" s="6" t="n"/>
      <c r="E173" s="6" t="n"/>
      <c r="F173" s="6" t="n"/>
      <c r="G173" s="6" t="n"/>
      <c r="H173" s="6" t="n"/>
      <c r="I173" s="6" t="n"/>
      <c r="J173" s="6" t="n"/>
      <c r="K173" s="6" t="n"/>
    </row>
    <row r="174">
      <c r="B174" s="2">
        <f>IF(A174="","",IFERROR(INDEX('판매구성'!$B$2:$B$501,MATCH(A174,'판매구성'!$A$2:$A$501,0)),""))</f>
        <v/>
      </c>
      <c r="C174" s="4">
        <f>IF(A174="","",IFERROR(INDEX('판매구성'!$D$2:$D$501,MATCH(A174,'판매구성'!$A$2:$A$501,0)),""))</f>
        <v/>
      </c>
      <c r="D174" s="6" t="n"/>
      <c r="E174" s="6" t="n"/>
      <c r="F174" s="6" t="n"/>
      <c r="G174" s="6" t="n"/>
      <c r="H174" s="6" t="n"/>
      <c r="I174" s="6" t="n"/>
      <c r="J174" s="6" t="n"/>
      <c r="K174" s="6" t="n"/>
    </row>
    <row r="175">
      <c r="B175" s="2">
        <f>IF(A175="","",IFERROR(INDEX('판매구성'!$B$2:$B$501,MATCH(A175,'판매구성'!$A$2:$A$501,0)),""))</f>
        <v/>
      </c>
      <c r="C175" s="4">
        <f>IF(A175="","",IFERROR(INDEX('판매구성'!$D$2:$D$501,MATCH(A175,'판매구성'!$A$2:$A$501,0)),""))</f>
        <v/>
      </c>
      <c r="D175" s="6" t="n"/>
      <c r="E175" s="6" t="n"/>
      <c r="F175" s="6" t="n"/>
      <c r="G175" s="6" t="n"/>
      <c r="H175" s="6" t="n"/>
      <c r="I175" s="6" t="n"/>
      <c r="J175" s="6" t="n"/>
      <c r="K175" s="6" t="n"/>
    </row>
    <row r="176">
      <c r="B176" s="2">
        <f>IF(A176="","",IFERROR(INDEX('판매구성'!$B$2:$B$501,MATCH(A176,'판매구성'!$A$2:$A$501,0)),""))</f>
        <v/>
      </c>
      <c r="C176" s="4">
        <f>IF(A176="","",IFERROR(INDEX('판매구성'!$D$2:$D$501,MATCH(A176,'판매구성'!$A$2:$A$501,0)),""))</f>
        <v/>
      </c>
      <c r="D176" s="6" t="n"/>
      <c r="E176" s="6" t="n"/>
      <c r="F176" s="6" t="n"/>
      <c r="G176" s="6" t="n"/>
      <c r="H176" s="6" t="n"/>
      <c r="I176" s="6" t="n"/>
      <c r="J176" s="6" t="n"/>
      <c r="K176" s="6" t="n"/>
    </row>
    <row r="177">
      <c r="B177" s="2">
        <f>IF(A177="","",IFERROR(INDEX('판매구성'!$B$2:$B$501,MATCH(A177,'판매구성'!$A$2:$A$501,0)),""))</f>
        <v/>
      </c>
      <c r="C177" s="4">
        <f>IF(A177="","",IFERROR(INDEX('판매구성'!$D$2:$D$501,MATCH(A177,'판매구성'!$A$2:$A$501,0)),""))</f>
        <v/>
      </c>
      <c r="D177" s="6" t="n"/>
      <c r="E177" s="6" t="n"/>
      <c r="F177" s="6" t="n"/>
      <c r="G177" s="6" t="n"/>
      <c r="H177" s="6" t="n"/>
      <c r="I177" s="6" t="n"/>
      <c r="J177" s="6" t="n"/>
      <c r="K177" s="6" t="n"/>
    </row>
    <row r="178">
      <c r="B178" s="2">
        <f>IF(A178="","",IFERROR(INDEX('판매구성'!$B$2:$B$501,MATCH(A178,'판매구성'!$A$2:$A$501,0)),""))</f>
        <v/>
      </c>
      <c r="C178" s="4">
        <f>IF(A178="","",IFERROR(INDEX('판매구성'!$D$2:$D$501,MATCH(A178,'판매구성'!$A$2:$A$501,0)),""))</f>
        <v/>
      </c>
      <c r="D178" s="6" t="n"/>
      <c r="E178" s="6" t="n"/>
      <c r="F178" s="6" t="n"/>
      <c r="G178" s="6" t="n"/>
      <c r="H178" s="6" t="n"/>
      <c r="I178" s="6" t="n"/>
      <c r="J178" s="6" t="n"/>
      <c r="K178" s="6" t="n"/>
    </row>
    <row r="179">
      <c r="B179" s="2">
        <f>IF(A179="","",IFERROR(INDEX('판매구성'!$B$2:$B$501,MATCH(A179,'판매구성'!$A$2:$A$501,0)),""))</f>
        <v/>
      </c>
      <c r="C179" s="4">
        <f>IF(A179="","",IFERROR(INDEX('판매구성'!$D$2:$D$501,MATCH(A179,'판매구성'!$A$2:$A$501,0)),""))</f>
        <v/>
      </c>
      <c r="D179" s="6" t="n"/>
      <c r="E179" s="6" t="n"/>
      <c r="F179" s="6" t="n"/>
      <c r="G179" s="6" t="n"/>
      <c r="H179" s="6" t="n"/>
      <c r="I179" s="6" t="n"/>
      <c r="J179" s="6" t="n"/>
      <c r="K179" s="6" t="n"/>
    </row>
    <row r="180">
      <c r="B180" s="2">
        <f>IF(A180="","",IFERROR(INDEX('판매구성'!$B$2:$B$501,MATCH(A180,'판매구성'!$A$2:$A$501,0)),""))</f>
        <v/>
      </c>
      <c r="C180" s="4">
        <f>IF(A180="","",IFERROR(INDEX('판매구성'!$D$2:$D$501,MATCH(A180,'판매구성'!$A$2:$A$501,0)),""))</f>
        <v/>
      </c>
      <c r="D180" s="6" t="n"/>
      <c r="E180" s="6" t="n"/>
      <c r="F180" s="6" t="n"/>
      <c r="G180" s="6" t="n"/>
      <c r="H180" s="6" t="n"/>
      <c r="I180" s="6" t="n"/>
      <c r="J180" s="6" t="n"/>
      <c r="K180" s="6" t="n"/>
    </row>
    <row r="181">
      <c r="B181" s="2">
        <f>IF(A181="","",IFERROR(INDEX('판매구성'!$B$2:$B$501,MATCH(A181,'판매구성'!$A$2:$A$501,0)),""))</f>
        <v/>
      </c>
      <c r="C181" s="4">
        <f>IF(A181="","",IFERROR(INDEX('판매구성'!$D$2:$D$501,MATCH(A181,'판매구성'!$A$2:$A$501,0)),""))</f>
        <v/>
      </c>
      <c r="D181" s="6" t="n"/>
      <c r="E181" s="6" t="n"/>
      <c r="F181" s="6" t="n"/>
      <c r="G181" s="6" t="n"/>
      <c r="H181" s="6" t="n"/>
      <c r="I181" s="6" t="n"/>
      <c r="J181" s="6" t="n"/>
      <c r="K181" s="6" t="n"/>
    </row>
    <row r="182">
      <c r="B182" s="2">
        <f>IF(A182="","",IFERROR(INDEX('판매구성'!$B$2:$B$501,MATCH(A182,'판매구성'!$A$2:$A$501,0)),""))</f>
        <v/>
      </c>
      <c r="C182" s="4">
        <f>IF(A182="","",IFERROR(INDEX('판매구성'!$D$2:$D$501,MATCH(A182,'판매구성'!$A$2:$A$501,0)),""))</f>
        <v/>
      </c>
      <c r="D182" s="6" t="n"/>
      <c r="E182" s="6" t="n"/>
      <c r="F182" s="6" t="n"/>
      <c r="G182" s="6" t="n"/>
      <c r="H182" s="6" t="n"/>
      <c r="I182" s="6" t="n"/>
      <c r="J182" s="6" t="n"/>
      <c r="K182" s="6" t="n"/>
    </row>
    <row r="183">
      <c r="B183" s="2">
        <f>IF(A183="","",IFERROR(INDEX('판매구성'!$B$2:$B$501,MATCH(A183,'판매구성'!$A$2:$A$501,0)),""))</f>
        <v/>
      </c>
      <c r="C183" s="4">
        <f>IF(A183="","",IFERROR(INDEX('판매구성'!$D$2:$D$501,MATCH(A183,'판매구성'!$A$2:$A$501,0)),""))</f>
        <v/>
      </c>
      <c r="D183" s="6" t="n"/>
      <c r="E183" s="6" t="n"/>
      <c r="F183" s="6" t="n"/>
      <c r="G183" s="6" t="n"/>
      <c r="H183" s="6" t="n"/>
      <c r="I183" s="6" t="n"/>
      <c r="J183" s="6" t="n"/>
      <c r="K183" s="6" t="n"/>
    </row>
    <row r="184">
      <c r="B184" s="2">
        <f>IF(A184="","",IFERROR(INDEX('판매구성'!$B$2:$B$501,MATCH(A184,'판매구성'!$A$2:$A$501,0)),""))</f>
        <v/>
      </c>
      <c r="C184" s="4">
        <f>IF(A184="","",IFERROR(INDEX('판매구성'!$D$2:$D$501,MATCH(A184,'판매구성'!$A$2:$A$501,0)),""))</f>
        <v/>
      </c>
      <c r="D184" s="6" t="n"/>
      <c r="E184" s="6" t="n"/>
      <c r="F184" s="6" t="n"/>
      <c r="G184" s="6" t="n"/>
      <c r="H184" s="6" t="n"/>
      <c r="I184" s="6" t="n"/>
      <c r="J184" s="6" t="n"/>
      <c r="K184" s="6" t="n"/>
    </row>
    <row r="185">
      <c r="B185" s="2">
        <f>IF(A185="","",IFERROR(INDEX('판매구성'!$B$2:$B$501,MATCH(A185,'판매구성'!$A$2:$A$501,0)),""))</f>
        <v/>
      </c>
      <c r="C185" s="4">
        <f>IF(A185="","",IFERROR(INDEX('판매구성'!$D$2:$D$501,MATCH(A185,'판매구성'!$A$2:$A$501,0)),""))</f>
        <v/>
      </c>
      <c r="D185" s="6" t="n"/>
      <c r="E185" s="6" t="n"/>
      <c r="F185" s="6" t="n"/>
      <c r="G185" s="6" t="n"/>
      <c r="H185" s="6" t="n"/>
      <c r="I185" s="6" t="n"/>
      <c r="J185" s="6" t="n"/>
      <c r="K185" s="6" t="n"/>
    </row>
    <row r="186">
      <c r="B186" s="2">
        <f>IF(A186="","",IFERROR(INDEX('판매구성'!$B$2:$B$501,MATCH(A186,'판매구성'!$A$2:$A$501,0)),""))</f>
        <v/>
      </c>
      <c r="C186" s="4">
        <f>IF(A186="","",IFERROR(INDEX('판매구성'!$D$2:$D$501,MATCH(A186,'판매구성'!$A$2:$A$501,0)),""))</f>
        <v/>
      </c>
      <c r="D186" s="6" t="n"/>
      <c r="E186" s="6" t="n"/>
      <c r="F186" s="6" t="n"/>
      <c r="G186" s="6" t="n"/>
      <c r="H186" s="6" t="n"/>
      <c r="I186" s="6" t="n"/>
      <c r="J186" s="6" t="n"/>
      <c r="K186" s="6" t="n"/>
    </row>
    <row r="187">
      <c r="B187" s="2">
        <f>IF(A187="","",IFERROR(INDEX('판매구성'!$B$2:$B$501,MATCH(A187,'판매구성'!$A$2:$A$501,0)),""))</f>
        <v/>
      </c>
      <c r="C187" s="4">
        <f>IF(A187="","",IFERROR(INDEX('판매구성'!$D$2:$D$501,MATCH(A187,'판매구성'!$A$2:$A$501,0)),""))</f>
        <v/>
      </c>
      <c r="D187" s="6" t="n"/>
      <c r="E187" s="6" t="n"/>
      <c r="F187" s="6" t="n"/>
      <c r="G187" s="6" t="n"/>
      <c r="H187" s="6" t="n"/>
      <c r="I187" s="6" t="n"/>
      <c r="J187" s="6" t="n"/>
      <c r="K187" s="6" t="n"/>
    </row>
    <row r="188">
      <c r="B188" s="2">
        <f>IF(A188="","",IFERROR(INDEX('판매구성'!$B$2:$B$501,MATCH(A188,'판매구성'!$A$2:$A$501,0)),""))</f>
        <v/>
      </c>
      <c r="C188" s="4">
        <f>IF(A188="","",IFERROR(INDEX('판매구성'!$D$2:$D$501,MATCH(A188,'판매구성'!$A$2:$A$501,0)),""))</f>
        <v/>
      </c>
      <c r="D188" s="6" t="n"/>
      <c r="E188" s="6" t="n"/>
      <c r="F188" s="6" t="n"/>
      <c r="G188" s="6" t="n"/>
      <c r="H188" s="6" t="n"/>
      <c r="I188" s="6" t="n"/>
      <c r="J188" s="6" t="n"/>
      <c r="K188" s="6" t="n"/>
    </row>
    <row r="189">
      <c r="B189" s="2">
        <f>IF(A189="","",IFERROR(INDEX('판매구성'!$B$2:$B$501,MATCH(A189,'판매구성'!$A$2:$A$501,0)),""))</f>
        <v/>
      </c>
      <c r="C189" s="4">
        <f>IF(A189="","",IFERROR(INDEX('판매구성'!$D$2:$D$501,MATCH(A189,'판매구성'!$A$2:$A$501,0)),""))</f>
        <v/>
      </c>
      <c r="D189" s="6" t="n"/>
      <c r="E189" s="6" t="n"/>
      <c r="F189" s="6" t="n"/>
      <c r="G189" s="6" t="n"/>
      <c r="H189" s="6" t="n"/>
      <c r="I189" s="6" t="n"/>
      <c r="J189" s="6" t="n"/>
      <c r="K189" s="6" t="n"/>
    </row>
    <row r="190">
      <c r="B190" s="2">
        <f>IF(A190="","",IFERROR(INDEX('판매구성'!$B$2:$B$501,MATCH(A190,'판매구성'!$A$2:$A$501,0)),""))</f>
        <v/>
      </c>
      <c r="C190" s="4">
        <f>IF(A190="","",IFERROR(INDEX('판매구성'!$D$2:$D$501,MATCH(A190,'판매구성'!$A$2:$A$501,0)),""))</f>
        <v/>
      </c>
      <c r="D190" s="6" t="n"/>
      <c r="E190" s="6" t="n"/>
      <c r="F190" s="6" t="n"/>
      <c r="G190" s="6" t="n"/>
      <c r="H190" s="6" t="n"/>
      <c r="I190" s="6" t="n"/>
      <c r="J190" s="6" t="n"/>
      <c r="K190" s="6" t="n"/>
    </row>
    <row r="191">
      <c r="B191" s="2">
        <f>IF(A191="","",IFERROR(INDEX('판매구성'!$B$2:$B$501,MATCH(A191,'판매구성'!$A$2:$A$501,0)),""))</f>
        <v/>
      </c>
      <c r="C191" s="4">
        <f>IF(A191="","",IFERROR(INDEX('판매구성'!$D$2:$D$501,MATCH(A191,'판매구성'!$A$2:$A$501,0)),""))</f>
        <v/>
      </c>
      <c r="D191" s="6" t="n"/>
      <c r="E191" s="6" t="n"/>
      <c r="F191" s="6" t="n"/>
      <c r="G191" s="6" t="n"/>
      <c r="H191" s="6" t="n"/>
      <c r="I191" s="6" t="n"/>
      <c r="J191" s="6" t="n"/>
      <c r="K191" s="6" t="n"/>
    </row>
    <row r="192">
      <c r="B192" s="2">
        <f>IF(A192="","",IFERROR(INDEX('판매구성'!$B$2:$B$501,MATCH(A192,'판매구성'!$A$2:$A$501,0)),""))</f>
        <v/>
      </c>
      <c r="C192" s="4">
        <f>IF(A192="","",IFERROR(INDEX('판매구성'!$D$2:$D$501,MATCH(A192,'판매구성'!$A$2:$A$501,0)),""))</f>
        <v/>
      </c>
      <c r="D192" s="6" t="n"/>
      <c r="E192" s="6" t="n"/>
      <c r="F192" s="6" t="n"/>
      <c r="G192" s="6" t="n"/>
      <c r="H192" s="6" t="n"/>
      <c r="I192" s="6" t="n"/>
      <c r="J192" s="6" t="n"/>
      <c r="K192" s="6" t="n"/>
    </row>
    <row r="193">
      <c r="B193" s="2">
        <f>IF(A193="","",IFERROR(INDEX('판매구성'!$B$2:$B$501,MATCH(A193,'판매구성'!$A$2:$A$501,0)),""))</f>
        <v/>
      </c>
      <c r="C193" s="4">
        <f>IF(A193="","",IFERROR(INDEX('판매구성'!$D$2:$D$501,MATCH(A193,'판매구성'!$A$2:$A$501,0)),""))</f>
        <v/>
      </c>
      <c r="D193" s="6" t="n"/>
      <c r="E193" s="6" t="n"/>
      <c r="F193" s="6" t="n"/>
      <c r="G193" s="6" t="n"/>
      <c r="H193" s="6" t="n"/>
      <c r="I193" s="6" t="n"/>
      <c r="J193" s="6" t="n"/>
      <c r="K193" s="6" t="n"/>
    </row>
    <row r="194">
      <c r="B194" s="2">
        <f>IF(A194="","",IFERROR(INDEX('판매구성'!$B$2:$B$501,MATCH(A194,'판매구성'!$A$2:$A$501,0)),""))</f>
        <v/>
      </c>
      <c r="C194" s="4">
        <f>IF(A194="","",IFERROR(INDEX('판매구성'!$D$2:$D$501,MATCH(A194,'판매구성'!$A$2:$A$501,0)),""))</f>
        <v/>
      </c>
      <c r="D194" s="6" t="n"/>
      <c r="E194" s="6" t="n"/>
      <c r="F194" s="6" t="n"/>
      <c r="G194" s="6" t="n"/>
      <c r="H194" s="6" t="n"/>
      <c r="I194" s="6" t="n"/>
      <c r="J194" s="6" t="n"/>
      <c r="K194" s="6" t="n"/>
    </row>
    <row r="195">
      <c r="B195" s="2">
        <f>IF(A195="","",IFERROR(INDEX('판매구성'!$B$2:$B$501,MATCH(A195,'판매구성'!$A$2:$A$501,0)),""))</f>
        <v/>
      </c>
      <c r="C195" s="4">
        <f>IF(A195="","",IFERROR(INDEX('판매구성'!$D$2:$D$501,MATCH(A195,'판매구성'!$A$2:$A$501,0)),""))</f>
        <v/>
      </c>
      <c r="D195" s="6" t="n"/>
      <c r="E195" s="6" t="n"/>
      <c r="F195" s="6" t="n"/>
      <c r="G195" s="6" t="n"/>
      <c r="H195" s="6" t="n"/>
      <c r="I195" s="6" t="n"/>
      <c r="J195" s="6" t="n"/>
      <c r="K195" s="6" t="n"/>
    </row>
    <row r="196">
      <c r="B196" s="2">
        <f>IF(A196="","",IFERROR(INDEX('판매구성'!$B$2:$B$501,MATCH(A196,'판매구성'!$A$2:$A$501,0)),""))</f>
        <v/>
      </c>
      <c r="C196" s="4">
        <f>IF(A196="","",IFERROR(INDEX('판매구성'!$D$2:$D$501,MATCH(A196,'판매구성'!$A$2:$A$501,0)),""))</f>
        <v/>
      </c>
      <c r="D196" s="6" t="n"/>
      <c r="E196" s="6" t="n"/>
      <c r="F196" s="6" t="n"/>
      <c r="G196" s="6" t="n"/>
      <c r="H196" s="6" t="n"/>
      <c r="I196" s="6" t="n"/>
      <c r="J196" s="6" t="n"/>
      <c r="K196" s="6" t="n"/>
    </row>
    <row r="197">
      <c r="B197" s="2">
        <f>IF(A197="","",IFERROR(INDEX('판매구성'!$B$2:$B$501,MATCH(A197,'판매구성'!$A$2:$A$501,0)),""))</f>
        <v/>
      </c>
      <c r="C197" s="4">
        <f>IF(A197="","",IFERROR(INDEX('판매구성'!$D$2:$D$501,MATCH(A197,'판매구성'!$A$2:$A$501,0)),""))</f>
        <v/>
      </c>
      <c r="D197" s="6" t="n"/>
      <c r="E197" s="6" t="n"/>
      <c r="F197" s="6" t="n"/>
      <c r="G197" s="6" t="n"/>
      <c r="H197" s="6" t="n"/>
      <c r="I197" s="6" t="n"/>
      <c r="J197" s="6" t="n"/>
      <c r="K197" s="6" t="n"/>
    </row>
    <row r="198">
      <c r="B198" s="2">
        <f>IF(A198="","",IFERROR(INDEX('판매구성'!$B$2:$B$501,MATCH(A198,'판매구성'!$A$2:$A$501,0)),""))</f>
        <v/>
      </c>
      <c r="C198" s="4">
        <f>IF(A198="","",IFERROR(INDEX('판매구성'!$D$2:$D$501,MATCH(A198,'판매구성'!$A$2:$A$501,0)),""))</f>
        <v/>
      </c>
      <c r="D198" s="6" t="n"/>
      <c r="E198" s="6" t="n"/>
      <c r="F198" s="6" t="n"/>
      <c r="G198" s="6" t="n"/>
      <c r="H198" s="6" t="n"/>
      <c r="I198" s="6" t="n"/>
      <c r="J198" s="6" t="n"/>
      <c r="K198" s="6" t="n"/>
    </row>
    <row r="199">
      <c r="B199" s="2">
        <f>IF(A199="","",IFERROR(INDEX('판매구성'!$B$2:$B$501,MATCH(A199,'판매구성'!$A$2:$A$501,0)),""))</f>
        <v/>
      </c>
      <c r="C199" s="4">
        <f>IF(A199="","",IFERROR(INDEX('판매구성'!$D$2:$D$501,MATCH(A199,'판매구성'!$A$2:$A$501,0)),""))</f>
        <v/>
      </c>
      <c r="D199" s="6" t="n"/>
      <c r="E199" s="6" t="n"/>
      <c r="F199" s="6" t="n"/>
      <c r="G199" s="6" t="n"/>
      <c r="H199" s="6" t="n"/>
      <c r="I199" s="6" t="n"/>
      <c r="J199" s="6" t="n"/>
      <c r="K199" s="6" t="n"/>
    </row>
    <row r="200">
      <c r="B200" s="2">
        <f>IF(A200="","",IFERROR(INDEX('판매구성'!$B$2:$B$501,MATCH(A200,'판매구성'!$A$2:$A$501,0)),""))</f>
        <v/>
      </c>
      <c r="C200" s="4">
        <f>IF(A200="","",IFERROR(INDEX('판매구성'!$D$2:$D$501,MATCH(A200,'판매구성'!$A$2:$A$501,0)),""))</f>
        <v/>
      </c>
      <c r="D200" s="6" t="n"/>
      <c r="E200" s="6" t="n"/>
      <c r="F200" s="6" t="n"/>
      <c r="G200" s="6" t="n"/>
      <c r="H200" s="6" t="n"/>
      <c r="I200" s="6" t="n"/>
      <c r="J200" s="6" t="n"/>
      <c r="K200" s="6" t="n"/>
    </row>
    <row r="201">
      <c r="B201" s="2">
        <f>IF(A201="","",IFERROR(INDEX('판매구성'!$B$2:$B$501,MATCH(A201,'판매구성'!$A$2:$A$501,0)),""))</f>
        <v/>
      </c>
      <c r="C201" s="4">
        <f>IF(A201="","",IFERROR(INDEX('판매구성'!$D$2:$D$501,MATCH(A201,'판매구성'!$A$2:$A$501,0)),""))</f>
        <v/>
      </c>
      <c r="D201" s="6" t="n"/>
      <c r="E201" s="6" t="n"/>
      <c r="F201" s="6" t="n"/>
      <c r="G201" s="6" t="n"/>
      <c r="H201" s="6" t="n"/>
      <c r="I201" s="6" t="n"/>
      <c r="J201" s="6" t="n"/>
      <c r="K201" s="6" t="n"/>
    </row>
    <row r="202">
      <c r="B202" s="2">
        <f>IF(A202="","",IFERROR(INDEX('판매구성'!$B$2:$B$501,MATCH(A202,'판매구성'!$A$2:$A$501,0)),""))</f>
        <v/>
      </c>
      <c r="C202" s="4">
        <f>IF(A202="","",IFERROR(INDEX('판매구성'!$D$2:$D$501,MATCH(A202,'판매구성'!$A$2:$A$501,0)),""))</f>
        <v/>
      </c>
      <c r="D202" s="6" t="n"/>
      <c r="E202" s="6" t="n"/>
      <c r="F202" s="6" t="n"/>
      <c r="G202" s="6" t="n"/>
      <c r="H202" s="6" t="n"/>
      <c r="I202" s="6" t="n"/>
      <c r="J202" s="6" t="n"/>
      <c r="K202" s="6" t="n"/>
    </row>
    <row r="203">
      <c r="B203" s="2">
        <f>IF(A203="","",IFERROR(INDEX('판매구성'!$B$2:$B$501,MATCH(A203,'판매구성'!$A$2:$A$501,0)),""))</f>
        <v/>
      </c>
      <c r="C203" s="4">
        <f>IF(A203="","",IFERROR(INDEX('판매구성'!$D$2:$D$501,MATCH(A203,'판매구성'!$A$2:$A$501,0)),""))</f>
        <v/>
      </c>
      <c r="D203" s="6" t="n"/>
      <c r="E203" s="6" t="n"/>
      <c r="F203" s="6" t="n"/>
      <c r="G203" s="6" t="n"/>
      <c r="H203" s="6" t="n"/>
      <c r="I203" s="6" t="n"/>
      <c r="J203" s="6" t="n"/>
      <c r="K203" s="6" t="n"/>
    </row>
    <row r="204">
      <c r="B204" s="2">
        <f>IF(A204="","",IFERROR(INDEX('판매구성'!$B$2:$B$501,MATCH(A204,'판매구성'!$A$2:$A$501,0)),""))</f>
        <v/>
      </c>
      <c r="C204" s="4">
        <f>IF(A204="","",IFERROR(INDEX('판매구성'!$D$2:$D$501,MATCH(A204,'판매구성'!$A$2:$A$501,0)),""))</f>
        <v/>
      </c>
      <c r="D204" s="6" t="n"/>
      <c r="E204" s="6" t="n"/>
      <c r="F204" s="6" t="n"/>
      <c r="G204" s="6" t="n"/>
      <c r="H204" s="6" t="n"/>
      <c r="I204" s="6" t="n"/>
      <c r="J204" s="6" t="n"/>
      <c r="K204" s="6" t="n"/>
    </row>
    <row r="205">
      <c r="B205" s="2">
        <f>IF(A205="","",IFERROR(INDEX('판매구성'!$B$2:$B$501,MATCH(A205,'판매구성'!$A$2:$A$501,0)),""))</f>
        <v/>
      </c>
      <c r="C205" s="4">
        <f>IF(A205="","",IFERROR(INDEX('판매구성'!$D$2:$D$501,MATCH(A205,'판매구성'!$A$2:$A$501,0)),""))</f>
        <v/>
      </c>
      <c r="D205" s="6" t="n"/>
      <c r="E205" s="6" t="n"/>
      <c r="F205" s="6" t="n"/>
      <c r="G205" s="6" t="n"/>
      <c r="H205" s="6" t="n"/>
      <c r="I205" s="6" t="n"/>
      <c r="J205" s="6" t="n"/>
      <c r="K205" s="6" t="n"/>
    </row>
    <row r="206">
      <c r="B206" s="2">
        <f>IF(A206="","",IFERROR(INDEX('판매구성'!$B$2:$B$501,MATCH(A206,'판매구성'!$A$2:$A$501,0)),""))</f>
        <v/>
      </c>
      <c r="C206" s="4">
        <f>IF(A206="","",IFERROR(INDEX('판매구성'!$D$2:$D$501,MATCH(A206,'판매구성'!$A$2:$A$501,0)),""))</f>
        <v/>
      </c>
      <c r="D206" s="6" t="n"/>
      <c r="E206" s="6" t="n"/>
      <c r="F206" s="6" t="n"/>
      <c r="G206" s="6" t="n"/>
      <c r="H206" s="6" t="n"/>
      <c r="I206" s="6" t="n"/>
      <c r="J206" s="6" t="n"/>
      <c r="K206" s="6" t="n"/>
    </row>
    <row r="207">
      <c r="B207" s="2">
        <f>IF(A207="","",IFERROR(INDEX('판매구성'!$B$2:$B$501,MATCH(A207,'판매구성'!$A$2:$A$501,0)),""))</f>
        <v/>
      </c>
      <c r="C207" s="4">
        <f>IF(A207="","",IFERROR(INDEX('판매구성'!$D$2:$D$501,MATCH(A207,'판매구성'!$A$2:$A$501,0)),""))</f>
        <v/>
      </c>
      <c r="D207" s="6" t="n"/>
      <c r="E207" s="6" t="n"/>
      <c r="F207" s="6" t="n"/>
      <c r="G207" s="6" t="n"/>
      <c r="H207" s="6" t="n"/>
      <c r="I207" s="6" t="n"/>
      <c r="J207" s="6" t="n"/>
      <c r="K207" s="6" t="n"/>
    </row>
    <row r="208">
      <c r="B208" s="2">
        <f>IF(A208="","",IFERROR(INDEX('판매구성'!$B$2:$B$501,MATCH(A208,'판매구성'!$A$2:$A$501,0)),""))</f>
        <v/>
      </c>
      <c r="C208" s="4">
        <f>IF(A208="","",IFERROR(INDEX('판매구성'!$D$2:$D$501,MATCH(A208,'판매구성'!$A$2:$A$501,0)),""))</f>
        <v/>
      </c>
      <c r="D208" s="6" t="n"/>
      <c r="E208" s="6" t="n"/>
      <c r="F208" s="6" t="n"/>
      <c r="G208" s="6" t="n"/>
      <c r="H208" s="6" t="n"/>
      <c r="I208" s="6" t="n"/>
      <c r="J208" s="6" t="n"/>
      <c r="K208" s="6" t="n"/>
    </row>
    <row r="209">
      <c r="B209" s="2">
        <f>IF(A209="","",IFERROR(INDEX('판매구성'!$B$2:$B$501,MATCH(A209,'판매구성'!$A$2:$A$501,0)),""))</f>
        <v/>
      </c>
      <c r="C209" s="4">
        <f>IF(A209="","",IFERROR(INDEX('판매구성'!$D$2:$D$501,MATCH(A209,'판매구성'!$A$2:$A$501,0)),""))</f>
        <v/>
      </c>
      <c r="D209" s="6" t="n"/>
      <c r="E209" s="6" t="n"/>
      <c r="F209" s="6" t="n"/>
      <c r="G209" s="6" t="n"/>
      <c r="H209" s="6" t="n"/>
      <c r="I209" s="6" t="n"/>
      <c r="J209" s="6" t="n"/>
      <c r="K209" s="6" t="n"/>
    </row>
    <row r="210">
      <c r="B210" s="2">
        <f>IF(A210="","",IFERROR(INDEX('판매구성'!$B$2:$B$501,MATCH(A210,'판매구성'!$A$2:$A$501,0)),""))</f>
        <v/>
      </c>
      <c r="C210" s="4">
        <f>IF(A210="","",IFERROR(INDEX('판매구성'!$D$2:$D$501,MATCH(A210,'판매구성'!$A$2:$A$501,0)),""))</f>
        <v/>
      </c>
      <c r="D210" s="6" t="n"/>
      <c r="E210" s="6" t="n"/>
      <c r="F210" s="6" t="n"/>
      <c r="G210" s="6" t="n"/>
      <c r="H210" s="6" t="n"/>
      <c r="I210" s="6" t="n"/>
      <c r="J210" s="6" t="n"/>
      <c r="K210" s="6" t="n"/>
    </row>
    <row r="211">
      <c r="B211" s="2">
        <f>IF(A211="","",IFERROR(INDEX('판매구성'!$B$2:$B$501,MATCH(A211,'판매구성'!$A$2:$A$501,0)),""))</f>
        <v/>
      </c>
      <c r="C211" s="4">
        <f>IF(A211="","",IFERROR(INDEX('판매구성'!$D$2:$D$501,MATCH(A211,'판매구성'!$A$2:$A$501,0)),""))</f>
        <v/>
      </c>
      <c r="D211" s="6" t="n"/>
      <c r="E211" s="6" t="n"/>
      <c r="F211" s="6" t="n"/>
      <c r="G211" s="6" t="n"/>
      <c r="H211" s="6" t="n"/>
      <c r="I211" s="6" t="n"/>
      <c r="J211" s="6" t="n"/>
      <c r="K211" s="6" t="n"/>
    </row>
    <row r="212">
      <c r="B212" s="2">
        <f>IF(A212="","",IFERROR(INDEX('판매구성'!$B$2:$B$501,MATCH(A212,'판매구성'!$A$2:$A$501,0)),""))</f>
        <v/>
      </c>
      <c r="C212" s="4">
        <f>IF(A212="","",IFERROR(INDEX('판매구성'!$D$2:$D$501,MATCH(A212,'판매구성'!$A$2:$A$501,0)),""))</f>
        <v/>
      </c>
      <c r="D212" s="6" t="n"/>
      <c r="E212" s="6" t="n"/>
      <c r="F212" s="6" t="n"/>
      <c r="G212" s="6" t="n"/>
      <c r="H212" s="6" t="n"/>
      <c r="I212" s="6" t="n"/>
      <c r="J212" s="6" t="n"/>
      <c r="K212" s="6" t="n"/>
    </row>
    <row r="213">
      <c r="B213" s="2">
        <f>IF(A213="","",IFERROR(INDEX('판매구성'!$B$2:$B$501,MATCH(A213,'판매구성'!$A$2:$A$501,0)),""))</f>
        <v/>
      </c>
      <c r="C213" s="4">
        <f>IF(A213="","",IFERROR(INDEX('판매구성'!$D$2:$D$501,MATCH(A213,'판매구성'!$A$2:$A$501,0)),""))</f>
        <v/>
      </c>
      <c r="D213" s="6" t="n"/>
      <c r="E213" s="6" t="n"/>
      <c r="F213" s="6" t="n"/>
      <c r="G213" s="6" t="n"/>
      <c r="H213" s="6" t="n"/>
      <c r="I213" s="6" t="n"/>
      <c r="J213" s="6" t="n"/>
      <c r="K213" s="6" t="n"/>
    </row>
    <row r="214">
      <c r="B214" s="2">
        <f>IF(A214="","",IFERROR(INDEX('판매구성'!$B$2:$B$501,MATCH(A214,'판매구성'!$A$2:$A$501,0)),""))</f>
        <v/>
      </c>
      <c r="C214" s="4">
        <f>IF(A214="","",IFERROR(INDEX('판매구성'!$D$2:$D$501,MATCH(A214,'판매구성'!$A$2:$A$501,0)),""))</f>
        <v/>
      </c>
      <c r="D214" s="6" t="n"/>
      <c r="E214" s="6" t="n"/>
      <c r="F214" s="6" t="n"/>
      <c r="G214" s="6" t="n"/>
      <c r="H214" s="6" t="n"/>
      <c r="I214" s="6" t="n"/>
      <c r="J214" s="6" t="n"/>
      <c r="K214" s="6" t="n"/>
    </row>
    <row r="215">
      <c r="B215" s="2">
        <f>IF(A215="","",IFERROR(INDEX('판매구성'!$B$2:$B$501,MATCH(A215,'판매구성'!$A$2:$A$501,0)),""))</f>
        <v/>
      </c>
      <c r="C215" s="4">
        <f>IF(A215="","",IFERROR(INDEX('판매구성'!$D$2:$D$501,MATCH(A215,'판매구성'!$A$2:$A$501,0)),""))</f>
        <v/>
      </c>
      <c r="D215" s="6" t="n"/>
      <c r="E215" s="6" t="n"/>
      <c r="F215" s="6" t="n"/>
      <c r="G215" s="6" t="n"/>
      <c r="H215" s="6" t="n"/>
      <c r="I215" s="6" t="n"/>
      <c r="J215" s="6" t="n"/>
      <c r="K215" s="6" t="n"/>
    </row>
    <row r="216">
      <c r="B216" s="2">
        <f>IF(A216="","",IFERROR(INDEX('판매구성'!$B$2:$B$501,MATCH(A216,'판매구성'!$A$2:$A$501,0)),""))</f>
        <v/>
      </c>
      <c r="C216" s="4">
        <f>IF(A216="","",IFERROR(INDEX('판매구성'!$D$2:$D$501,MATCH(A216,'판매구성'!$A$2:$A$501,0)),""))</f>
        <v/>
      </c>
      <c r="D216" s="6" t="n"/>
      <c r="E216" s="6" t="n"/>
      <c r="F216" s="6" t="n"/>
      <c r="G216" s="6" t="n"/>
      <c r="H216" s="6" t="n"/>
      <c r="I216" s="6" t="n"/>
      <c r="J216" s="6" t="n"/>
      <c r="K216" s="6" t="n"/>
    </row>
    <row r="217">
      <c r="B217" s="2">
        <f>IF(A217="","",IFERROR(INDEX('판매구성'!$B$2:$B$501,MATCH(A217,'판매구성'!$A$2:$A$501,0)),""))</f>
        <v/>
      </c>
      <c r="C217" s="4">
        <f>IF(A217="","",IFERROR(INDEX('판매구성'!$D$2:$D$501,MATCH(A217,'판매구성'!$A$2:$A$501,0)),""))</f>
        <v/>
      </c>
      <c r="D217" s="6" t="n"/>
      <c r="E217" s="6" t="n"/>
      <c r="F217" s="6" t="n"/>
      <c r="G217" s="6" t="n"/>
      <c r="H217" s="6" t="n"/>
      <c r="I217" s="6" t="n"/>
      <c r="J217" s="6" t="n"/>
      <c r="K217" s="6" t="n"/>
    </row>
    <row r="218">
      <c r="B218" s="2">
        <f>IF(A218="","",IFERROR(INDEX('판매구성'!$B$2:$B$501,MATCH(A218,'판매구성'!$A$2:$A$501,0)),""))</f>
        <v/>
      </c>
      <c r="C218" s="4">
        <f>IF(A218="","",IFERROR(INDEX('판매구성'!$D$2:$D$501,MATCH(A218,'판매구성'!$A$2:$A$501,0)),""))</f>
        <v/>
      </c>
      <c r="D218" s="6" t="n"/>
      <c r="E218" s="6" t="n"/>
      <c r="F218" s="6" t="n"/>
      <c r="G218" s="6" t="n"/>
      <c r="H218" s="6" t="n"/>
      <c r="I218" s="6" t="n"/>
      <c r="J218" s="6" t="n"/>
      <c r="K218" s="6" t="n"/>
    </row>
    <row r="219">
      <c r="B219" s="2">
        <f>IF(A219="","",IFERROR(INDEX('판매구성'!$B$2:$B$501,MATCH(A219,'판매구성'!$A$2:$A$501,0)),""))</f>
        <v/>
      </c>
      <c r="C219" s="4">
        <f>IF(A219="","",IFERROR(INDEX('판매구성'!$D$2:$D$501,MATCH(A219,'판매구성'!$A$2:$A$501,0)),""))</f>
        <v/>
      </c>
      <c r="D219" s="6" t="n"/>
      <c r="E219" s="6" t="n"/>
      <c r="F219" s="6" t="n"/>
      <c r="G219" s="6" t="n"/>
      <c r="H219" s="6" t="n"/>
      <c r="I219" s="6" t="n"/>
      <c r="J219" s="6" t="n"/>
      <c r="K219" s="6" t="n"/>
    </row>
    <row r="220">
      <c r="B220" s="2">
        <f>IF(A220="","",IFERROR(INDEX('판매구성'!$B$2:$B$501,MATCH(A220,'판매구성'!$A$2:$A$501,0)),""))</f>
        <v/>
      </c>
      <c r="C220" s="4">
        <f>IF(A220="","",IFERROR(INDEX('판매구성'!$D$2:$D$501,MATCH(A220,'판매구성'!$A$2:$A$501,0)),""))</f>
        <v/>
      </c>
      <c r="D220" s="6" t="n"/>
      <c r="E220" s="6" t="n"/>
      <c r="F220" s="6" t="n"/>
      <c r="G220" s="6" t="n"/>
      <c r="H220" s="6" t="n"/>
      <c r="I220" s="6" t="n"/>
      <c r="J220" s="6" t="n"/>
      <c r="K220" s="6" t="n"/>
    </row>
    <row r="221">
      <c r="B221" s="2">
        <f>IF(A221="","",IFERROR(INDEX('판매구성'!$B$2:$B$501,MATCH(A221,'판매구성'!$A$2:$A$501,0)),""))</f>
        <v/>
      </c>
      <c r="C221" s="4">
        <f>IF(A221="","",IFERROR(INDEX('판매구성'!$D$2:$D$501,MATCH(A221,'판매구성'!$A$2:$A$501,0)),""))</f>
        <v/>
      </c>
      <c r="D221" s="6" t="n"/>
      <c r="E221" s="6" t="n"/>
      <c r="F221" s="6" t="n"/>
      <c r="G221" s="6" t="n"/>
      <c r="H221" s="6" t="n"/>
      <c r="I221" s="6" t="n"/>
      <c r="J221" s="6" t="n"/>
      <c r="K221" s="6" t="n"/>
    </row>
    <row r="222">
      <c r="B222" s="2">
        <f>IF(A222="","",IFERROR(INDEX('판매구성'!$B$2:$B$501,MATCH(A222,'판매구성'!$A$2:$A$501,0)),""))</f>
        <v/>
      </c>
      <c r="C222" s="4">
        <f>IF(A222="","",IFERROR(INDEX('판매구성'!$D$2:$D$501,MATCH(A222,'판매구성'!$A$2:$A$501,0)),""))</f>
        <v/>
      </c>
      <c r="D222" s="6" t="n"/>
      <c r="E222" s="6" t="n"/>
      <c r="F222" s="6" t="n"/>
      <c r="G222" s="6" t="n"/>
      <c r="H222" s="6" t="n"/>
      <c r="I222" s="6" t="n"/>
      <c r="J222" s="6" t="n"/>
      <c r="K222" s="6" t="n"/>
    </row>
    <row r="223">
      <c r="B223" s="2">
        <f>IF(A223="","",IFERROR(INDEX('판매구성'!$B$2:$B$501,MATCH(A223,'판매구성'!$A$2:$A$501,0)),""))</f>
        <v/>
      </c>
      <c r="C223" s="4">
        <f>IF(A223="","",IFERROR(INDEX('판매구성'!$D$2:$D$501,MATCH(A223,'판매구성'!$A$2:$A$501,0)),""))</f>
        <v/>
      </c>
      <c r="D223" s="6" t="n"/>
      <c r="E223" s="6" t="n"/>
      <c r="F223" s="6" t="n"/>
      <c r="G223" s="6" t="n"/>
      <c r="H223" s="6" t="n"/>
      <c r="I223" s="6" t="n"/>
      <c r="J223" s="6" t="n"/>
      <c r="K223" s="6" t="n"/>
    </row>
    <row r="224">
      <c r="B224" s="2">
        <f>IF(A224="","",IFERROR(INDEX('판매구성'!$B$2:$B$501,MATCH(A224,'판매구성'!$A$2:$A$501,0)),""))</f>
        <v/>
      </c>
      <c r="C224" s="4">
        <f>IF(A224="","",IFERROR(INDEX('판매구성'!$D$2:$D$501,MATCH(A224,'판매구성'!$A$2:$A$501,0)),""))</f>
        <v/>
      </c>
      <c r="D224" s="6" t="n"/>
      <c r="E224" s="6" t="n"/>
      <c r="F224" s="6" t="n"/>
      <c r="G224" s="6" t="n"/>
      <c r="H224" s="6" t="n"/>
      <c r="I224" s="6" t="n"/>
      <c r="J224" s="6" t="n"/>
      <c r="K224" s="6" t="n"/>
    </row>
    <row r="225">
      <c r="B225" s="2">
        <f>IF(A225="","",IFERROR(INDEX('판매구성'!$B$2:$B$501,MATCH(A225,'판매구성'!$A$2:$A$501,0)),""))</f>
        <v/>
      </c>
      <c r="C225" s="4">
        <f>IF(A225="","",IFERROR(INDEX('판매구성'!$D$2:$D$501,MATCH(A225,'판매구성'!$A$2:$A$501,0)),""))</f>
        <v/>
      </c>
      <c r="D225" s="6" t="n"/>
      <c r="E225" s="6" t="n"/>
      <c r="F225" s="6" t="n"/>
      <c r="G225" s="6" t="n"/>
      <c r="H225" s="6" t="n"/>
      <c r="I225" s="6" t="n"/>
      <c r="J225" s="6" t="n"/>
      <c r="K225" s="6" t="n"/>
    </row>
    <row r="226">
      <c r="B226" s="2">
        <f>IF(A226="","",IFERROR(INDEX('판매구성'!$B$2:$B$501,MATCH(A226,'판매구성'!$A$2:$A$501,0)),""))</f>
        <v/>
      </c>
      <c r="C226" s="4">
        <f>IF(A226="","",IFERROR(INDEX('판매구성'!$D$2:$D$501,MATCH(A226,'판매구성'!$A$2:$A$501,0)),""))</f>
        <v/>
      </c>
      <c r="D226" s="6" t="n"/>
      <c r="E226" s="6" t="n"/>
      <c r="F226" s="6" t="n"/>
      <c r="G226" s="6" t="n"/>
      <c r="H226" s="6" t="n"/>
      <c r="I226" s="6" t="n"/>
      <c r="J226" s="6" t="n"/>
      <c r="K226" s="6" t="n"/>
    </row>
    <row r="227">
      <c r="B227" s="2">
        <f>IF(A227="","",IFERROR(INDEX('판매구성'!$B$2:$B$501,MATCH(A227,'판매구성'!$A$2:$A$501,0)),""))</f>
        <v/>
      </c>
      <c r="C227" s="4">
        <f>IF(A227="","",IFERROR(INDEX('판매구성'!$D$2:$D$501,MATCH(A227,'판매구성'!$A$2:$A$501,0)),""))</f>
        <v/>
      </c>
      <c r="D227" s="6" t="n"/>
      <c r="E227" s="6" t="n"/>
      <c r="F227" s="6" t="n"/>
      <c r="G227" s="6" t="n"/>
      <c r="H227" s="6" t="n"/>
      <c r="I227" s="6" t="n"/>
      <c r="J227" s="6" t="n"/>
      <c r="K227" s="6" t="n"/>
    </row>
    <row r="228">
      <c r="B228" s="2">
        <f>IF(A228="","",IFERROR(INDEX('판매구성'!$B$2:$B$501,MATCH(A228,'판매구성'!$A$2:$A$501,0)),""))</f>
        <v/>
      </c>
      <c r="C228" s="4">
        <f>IF(A228="","",IFERROR(INDEX('판매구성'!$D$2:$D$501,MATCH(A228,'판매구성'!$A$2:$A$501,0)),""))</f>
        <v/>
      </c>
      <c r="D228" s="6" t="n"/>
      <c r="E228" s="6" t="n"/>
      <c r="F228" s="6" t="n"/>
      <c r="G228" s="6" t="n"/>
      <c r="H228" s="6" t="n"/>
      <c r="I228" s="6" t="n"/>
      <c r="J228" s="6" t="n"/>
      <c r="K228" s="6" t="n"/>
    </row>
    <row r="229">
      <c r="B229" s="2">
        <f>IF(A229="","",IFERROR(INDEX('판매구성'!$B$2:$B$501,MATCH(A229,'판매구성'!$A$2:$A$501,0)),""))</f>
        <v/>
      </c>
      <c r="C229" s="4">
        <f>IF(A229="","",IFERROR(INDEX('판매구성'!$D$2:$D$501,MATCH(A229,'판매구성'!$A$2:$A$501,0)),""))</f>
        <v/>
      </c>
      <c r="D229" s="6" t="n"/>
      <c r="E229" s="6" t="n"/>
      <c r="F229" s="6" t="n"/>
      <c r="G229" s="6" t="n"/>
      <c r="H229" s="6" t="n"/>
      <c r="I229" s="6" t="n"/>
      <c r="J229" s="6" t="n"/>
      <c r="K229" s="6" t="n"/>
    </row>
    <row r="230">
      <c r="B230" s="2">
        <f>IF(A230="","",IFERROR(INDEX('판매구성'!$B$2:$B$501,MATCH(A230,'판매구성'!$A$2:$A$501,0)),""))</f>
        <v/>
      </c>
      <c r="C230" s="4">
        <f>IF(A230="","",IFERROR(INDEX('판매구성'!$D$2:$D$501,MATCH(A230,'판매구성'!$A$2:$A$501,0)),""))</f>
        <v/>
      </c>
      <c r="D230" s="6" t="n"/>
      <c r="E230" s="6" t="n"/>
      <c r="F230" s="6" t="n"/>
      <c r="G230" s="6" t="n"/>
      <c r="H230" s="6" t="n"/>
      <c r="I230" s="6" t="n"/>
      <c r="J230" s="6" t="n"/>
      <c r="K230" s="6" t="n"/>
    </row>
    <row r="231">
      <c r="B231" s="2">
        <f>IF(A231="","",IFERROR(INDEX('판매구성'!$B$2:$B$501,MATCH(A231,'판매구성'!$A$2:$A$501,0)),""))</f>
        <v/>
      </c>
      <c r="C231" s="4">
        <f>IF(A231="","",IFERROR(INDEX('판매구성'!$D$2:$D$501,MATCH(A231,'판매구성'!$A$2:$A$501,0)),""))</f>
        <v/>
      </c>
      <c r="D231" s="6" t="n"/>
      <c r="E231" s="6" t="n"/>
      <c r="F231" s="6" t="n"/>
      <c r="G231" s="6" t="n"/>
      <c r="H231" s="6" t="n"/>
      <c r="I231" s="6" t="n"/>
      <c r="J231" s="6" t="n"/>
      <c r="K231" s="6" t="n"/>
    </row>
    <row r="232">
      <c r="B232" s="2">
        <f>IF(A232="","",IFERROR(INDEX('판매구성'!$B$2:$B$501,MATCH(A232,'판매구성'!$A$2:$A$501,0)),""))</f>
        <v/>
      </c>
      <c r="C232" s="4">
        <f>IF(A232="","",IFERROR(INDEX('판매구성'!$D$2:$D$501,MATCH(A232,'판매구성'!$A$2:$A$501,0)),""))</f>
        <v/>
      </c>
      <c r="D232" s="6" t="n"/>
      <c r="E232" s="6" t="n"/>
      <c r="F232" s="6" t="n"/>
      <c r="G232" s="6" t="n"/>
      <c r="H232" s="6" t="n"/>
      <c r="I232" s="6" t="n"/>
      <c r="J232" s="6" t="n"/>
      <c r="K232" s="6" t="n"/>
    </row>
    <row r="233">
      <c r="B233" s="2">
        <f>IF(A233="","",IFERROR(INDEX('판매구성'!$B$2:$B$501,MATCH(A233,'판매구성'!$A$2:$A$501,0)),""))</f>
        <v/>
      </c>
      <c r="C233" s="4">
        <f>IF(A233="","",IFERROR(INDEX('판매구성'!$D$2:$D$501,MATCH(A233,'판매구성'!$A$2:$A$501,0)),""))</f>
        <v/>
      </c>
      <c r="D233" s="6" t="n"/>
      <c r="E233" s="6" t="n"/>
      <c r="F233" s="6" t="n"/>
      <c r="G233" s="6" t="n"/>
      <c r="H233" s="6" t="n"/>
      <c r="I233" s="6" t="n"/>
      <c r="J233" s="6" t="n"/>
      <c r="K233" s="6" t="n"/>
    </row>
    <row r="234">
      <c r="B234" s="2">
        <f>IF(A234="","",IFERROR(INDEX('판매구성'!$B$2:$B$501,MATCH(A234,'판매구성'!$A$2:$A$501,0)),""))</f>
        <v/>
      </c>
      <c r="C234" s="4">
        <f>IF(A234="","",IFERROR(INDEX('판매구성'!$D$2:$D$501,MATCH(A234,'판매구성'!$A$2:$A$501,0)),""))</f>
        <v/>
      </c>
      <c r="D234" s="6" t="n"/>
      <c r="E234" s="6" t="n"/>
      <c r="F234" s="6" t="n"/>
      <c r="G234" s="6" t="n"/>
      <c r="H234" s="6" t="n"/>
      <c r="I234" s="6" t="n"/>
      <c r="J234" s="6" t="n"/>
      <c r="K234" s="6" t="n"/>
    </row>
    <row r="235">
      <c r="B235" s="2">
        <f>IF(A235="","",IFERROR(INDEX('판매구성'!$B$2:$B$501,MATCH(A235,'판매구성'!$A$2:$A$501,0)),""))</f>
        <v/>
      </c>
      <c r="C235" s="4">
        <f>IF(A235="","",IFERROR(INDEX('판매구성'!$D$2:$D$501,MATCH(A235,'판매구성'!$A$2:$A$501,0)),""))</f>
        <v/>
      </c>
      <c r="D235" s="6" t="n"/>
      <c r="E235" s="6" t="n"/>
      <c r="F235" s="6" t="n"/>
      <c r="G235" s="6" t="n"/>
      <c r="H235" s="6" t="n"/>
      <c r="I235" s="6" t="n"/>
      <c r="J235" s="6" t="n"/>
      <c r="K235" s="6" t="n"/>
    </row>
    <row r="236">
      <c r="B236" s="2">
        <f>IF(A236="","",IFERROR(INDEX('판매구성'!$B$2:$B$501,MATCH(A236,'판매구성'!$A$2:$A$501,0)),""))</f>
        <v/>
      </c>
      <c r="C236" s="4">
        <f>IF(A236="","",IFERROR(INDEX('판매구성'!$D$2:$D$501,MATCH(A236,'판매구성'!$A$2:$A$501,0)),""))</f>
        <v/>
      </c>
      <c r="D236" s="6" t="n"/>
      <c r="E236" s="6" t="n"/>
      <c r="F236" s="6" t="n"/>
      <c r="G236" s="6" t="n"/>
      <c r="H236" s="6" t="n"/>
      <c r="I236" s="6" t="n"/>
      <c r="J236" s="6" t="n"/>
      <c r="K236" s="6" t="n"/>
    </row>
    <row r="237">
      <c r="B237" s="2">
        <f>IF(A237="","",IFERROR(INDEX('판매구성'!$B$2:$B$501,MATCH(A237,'판매구성'!$A$2:$A$501,0)),""))</f>
        <v/>
      </c>
      <c r="C237" s="4">
        <f>IF(A237="","",IFERROR(INDEX('판매구성'!$D$2:$D$501,MATCH(A237,'판매구성'!$A$2:$A$501,0)),""))</f>
        <v/>
      </c>
      <c r="D237" s="6" t="n"/>
      <c r="E237" s="6" t="n"/>
      <c r="F237" s="6" t="n"/>
      <c r="G237" s="6" t="n"/>
      <c r="H237" s="6" t="n"/>
      <c r="I237" s="6" t="n"/>
      <c r="J237" s="6" t="n"/>
      <c r="K237" s="6" t="n"/>
    </row>
    <row r="238">
      <c r="B238" s="2">
        <f>IF(A238="","",IFERROR(INDEX('판매구성'!$B$2:$B$501,MATCH(A238,'판매구성'!$A$2:$A$501,0)),""))</f>
        <v/>
      </c>
      <c r="C238" s="4">
        <f>IF(A238="","",IFERROR(INDEX('판매구성'!$D$2:$D$501,MATCH(A238,'판매구성'!$A$2:$A$501,0)),""))</f>
        <v/>
      </c>
      <c r="D238" s="6" t="n"/>
      <c r="E238" s="6" t="n"/>
      <c r="F238" s="6" t="n"/>
      <c r="G238" s="6" t="n"/>
      <c r="H238" s="6" t="n"/>
      <c r="I238" s="6" t="n"/>
      <c r="J238" s="6" t="n"/>
      <c r="K238" s="6" t="n"/>
    </row>
    <row r="239">
      <c r="B239" s="2">
        <f>IF(A239="","",IFERROR(INDEX('판매구성'!$B$2:$B$501,MATCH(A239,'판매구성'!$A$2:$A$501,0)),""))</f>
        <v/>
      </c>
      <c r="C239" s="4">
        <f>IF(A239="","",IFERROR(INDEX('판매구성'!$D$2:$D$501,MATCH(A239,'판매구성'!$A$2:$A$501,0)),""))</f>
        <v/>
      </c>
      <c r="D239" s="6" t="n"/>
      <c r="E239" s="6" t="n"/>
      <c r="F239" s="6" t="n"/>
      <c r="G239" s="6" t="n"/>
      <c r="H239" s="6" t="n"/>
      <c r="I239" s="6" t="n"/>
      <c r="J239" s="6" t="n"/>
      <c r="K239" s="6" t="n"/>
    </row>
    <row r="240">
      <c r="B240" s="2">
        <f>IF(A240="","",IFERROR(INDEX('판매구성'!$B$2:$B$501,MATCH(A240,'판매구성'!$A$2:$A$501,0)),""))</f>
        <v/>
      </c>
      <c r="C240" s="4">
        <f>IF(A240="","",IFERROR(INDEX('판매구성'!$D$2:$D$501,MATCH(A240,'판매구성'!$A$2:$A$501,0)),""))</f>
        <v/>
      </c>
      <c r="D240" s="6" t="n"/>
      <c r="E240" s="6" t="n"/>
      <c r="F240" s="6" t="n"/>
      <c r="G240" s="6" t="n"/>
      <c r="H240" s="6" t="n"/>
      <c r="I240" s="6" t="n"/>
      <c r="J240" s="6" t="n"/>
      <c r="K240" s="6" t="n"/>
    </row>
    <row r="241">
      <c r="B241" s="2">
        <f>IF(A241="","",IFERROR(INDEX('판매구성'!$B$2:$B$501,MATCH(A241,'판매구성'!$A$2:$A$501,0)),""))</f>
        <v/>
      </c>
      <c r="C241" s="4">
        <f>IF(A241="","",IFERROR(INDEX('판매구성'!$D$2:$D$501,MATCH(A241,'판매구성'!$A$2:$A$501,0)),""))</f>
        <v/>
      </c>
      <c r="D241" s="6" t="n"/>
      <c r="E241" s="6" t="n"/>
      <c r="F241" s="6" t="n"/>
      <c r="G241" s="6" t="n"/>
      <c r="H241" s="6" t="n"/>
      <c r="I241" s="6" t="n"/>
      <c r="J241" s="6" t="n"/>
      <c r="K241" s="6" t="n"/>
    </row>
    <row r="242">
      <c r="B242" s="2">
        <f>IF(A242="","",IFERROR(INDEX('판매구성'!$B$2:$B$501,MATCH(A242,'판매구성'!$A$2:$A$501,0)),""))</f>
        <v/>
      </c>
      <c r="C242" s="4">
        <f>IF(A242="","",IFERROR(INDEX('판매구성'!$D$2:$D$501,MATCH(A242,'판매구성'!$A$2:$A$501,0)),""))</f>
        <v/>
      </c>
      <c r="D242" s="6" t="n"/>
      <c r="E242" s="6" t="n"/>
      <c r="F242" s="6" t="n"/>
      <c r="G242" s="6" t="n"/>
      <c r="H242" s="6" t="n"/>
      <c r="I242" s="6" t="n"/>
      <c r="J242" s="6" t="n"/>
      <c r="K242" s="6" t="n"/>
    </row>
    <row r="243">
      <c r="B243" s="2">
        <f>IF(A243="","",IFERROR(INDEX('판매구성'!$B$2:$B$501,MATCH(A243,'판매구성'!$A$2:$A$501,0)),""))</f>
        <v/>
      </c>
      <c r="C243" s="4">
        <f>IF(A243="","",IFERROR(INDEX('판매구성'!$D$2:$D$501,MATCH(A243,'판매구성'!$A$2:$A$501,0)),""))</f>
        <v/>
      </c>
      <c r="D243" s="6" t="n"/>
      <c r="E243" s="6" t="n"/>
      <c r="F243" s="6" t="n"/>
      <c r="G243" s="6" t="n"/>
      <c r="H243" s="6" t="n"/>
      <c r="I243" s="6" t="n"/>
      <c r="J243" s="6" t="n"/>
      <c r="K243" s="6" t="n"/>
    </row>
    <row r="244">
      <c r="B244" s="2">
        <f>IF(A244="","",IFERROR(INDEX('판매구성'!$B$2:$B$501,MATCH(A244,'판매구성'!$A$2:$A$501,0)),""))</f>
        <v/>
      </c>
      <c r="C244" s="4">
        <f>IF(A244="","",IFERROR(INDEX('판매구성'!$D$2:$D$501,MATCH(A244,'판매구성'!$A$2:$A$501,0)),""))</f>
        <v/>
      </c>
      <c r="D244" s="6" t="n"/>
      <c r="E244" s="6" t="n"/>
      <c r="F244" s="6" t="n"/>
      <c r="G244" s="6" t="n"/>
      <c r="H244" s="6" t="n"/>
      <c r="I244" s="6" t="n"/>
      <c r="J244" s="6" t="n"/>
      <c r="K244" s="6" t="n"/>
    </row>
    <row r="245">
      <c r="B245" s="2">
        <f>IF(A245="","",IFERROR(INDEX('판매구성'!$B$2:$B$501,MATCH(A245,'판매구성'!$A$2:$A$501,0)),""))</f>
        <v/>
      </c>
      <c r="C245" s="4">
        <f>IF(A245="","",IFERROR(INDEX('판매구성'!$D$2:$D$501,MATCH(A245,'판매구성'!$A$2:$A$501,0)),""))</f>
        <v/>
      </c>
      <c r="D245" s="6" t="n"/>
      <c r="E245" s="6" t="n"/>
      <c r="F245" s="6" t="n"/>
      <c r="G245" s="6" t="n"/>
      <c r="H245" s="6" t="n"/>
      <c r="I245" s="6" t="n"/>
      <c r="J245" s="6" t="n"/>
      <c r="K245" s="6" t="n"/>
    </row>
    <row r="246">
      <c r="B246" s="2">
        <f>IF(A246="","",IFERROR(INDEX('판매구성'!$B$2:$B$501,MATCH(A246,'판매구성'!$A$2:$A$501,0)),""))</f>
        <v/>
      </c>
      <c r="C246" s="4">
        <f>IF(A246="","",IFERROR(INDEX('판매구성'!$D$2:$D$501,MATCH(A246,'판매구성'!$A$2:$A$501,0)),""))</f>
        <v/>
      </c>
      <c r="D246" s="6" t="n"/>
      <c r="E246" s="6" t="n"/>
      <c r="F246" s="6" t="n"/>
      <c r="G246" s="6" t="n"/>
      <c r="H246" s="6" t="n"/>
      <c r="I246" s="6" t="n"/>
      <c r="J246" s="6" t="n"/>
      <c r="K246" s="6" t="n"/>
    </row>
    <row r="247">
      <c r="B247" s="2">
        <f>IF(A247="","",IFERROR(INDEX('판매구성'!$B$2:$B$501,MATCH(A247,'판매구성'!$A$2:$A$501,0)),""))</f>
        <v/>
      </c>
      <c r="C247" s="4">
        <f>IF(A247="","",IFERROR(INDEX('판매구성'!$D$2:$D$501,MATCH(A247,'판매구성'!$A$2:$A$501,0)),""))</f>
        <v/>
      </c>
      <c r="D247" s="6" t="n"/>
      <c r="E247" s="6" t="n"/>
      <c r="F247" s="6" t="n"/>
      <c r="G247" s="6" t="n"/>
      <c r="H247" s="6" t="n"/>
      <c r="I247" s="6" t="n"/>
      <c r="J247" s="6" t="n"/>
      <c r="K247" s="6" t="n"/>
    </row>
    <row r="248">
      <c r="B248" s="2">
        <f>IF(A248="","",IFERROR(INDEX('판매구성'!$B$2:$B$501,MATCH(A248,'판매구성'!$A$2:$A$501,0)),""))</f>
        <v/>
      </c>
      <c r="C248" s="4">
        <f>IF(A248="","",IFERROR(INDEX('판매구성'!$D$2:$D$501,MATCH(A248,'판매구성'!$A$2:$A$501,0)),""))</f>
        <v/>
      </c>
      <c r="D248" s="6" t="n"/>
      <c r="E248" s="6" t="n"/>
      <c r="F248" s="6" t="n"/>
      <c r="G248" s="6" t="n"/>
      <c r="H248" s="6" t="n"/>
      <c r="I248" s="6" t="n"/>
      <c r="J248" s="6" t="n"/>
      <c r="K248" s="6" t="n"/>
    </row>
    <row r="249">
      <c r="B249" s="2">
        <f>IF(A249="","",IFERROR(INDEX('판매구성'!$B$2:$B$501,MATCH(A249,'판매구성'!$A$2:$A$501,0)),""))</f>
        <v/>
      </c>
      <c r="C249" s="4">
        <f>IF(A249="","",IFERROR(INDEX('판매구성'!$D$2:$D$501,MATCH(A249,'판매구성'!$A$2:$A$501,0)),""))</f>
        <v/>
      </c>
      <c r="D249" s="6" t="n"/>
      <c r="E249" s="6" t="n"/>
      <c r="F249" s="6" t="n"/>
      <c r="G249" s="6" t="n"/>
      <c r="H249" s="6" t="n"/>
      <c r="I249" s="6" t="n"/>
      <c r="J249" s="6" t="n"/>
      <c r="K249" s="6" t="n"/>
    </row>
    <row r="250">
      <c r="B250" s="2">
        <f>IF(A250="","",IFERROR(INDEX('판매구성'!$B$2:$B$501,MATCH(A250,'판매구성'!$A$2:$A$501,0)),""))</f>
        <v/>
      </c>
      <c r="C250" s="4">
        <f>IF(A250="","",IFERROR(INDEX('판매구성'!$D$2:$D$501,MATCH(A250,'판매구성'!$A$2:$A$501,0)),""))</f>
        <v/>
      </c>
      <c r="D250" s="6" t="n"/>
      <c r="E250" s="6" t="n"/>
      <c r="F250" s="6" t="n"/>
      <c r="G250" s="6" t="n"/>
      <c r="H250" s="6" t="n"/>
      <c r="I250" s="6" t="n"/>
      <c r="J250" s="6" t="n"/>
      <c r="K250" s="6" t="n"/>
    </row>
    <row r="251">
      <c r="B251" s="2">
        <f>IF(A251="","",IFERROR(INDEX('판매구성'!$B$2:$B$501,MATCH(A251,'판매구성'!$A$2:$A$501,0)),""))</f>
        <v/>
      </c>
      <c r="C251" s="4">
        <f>IF(A251="","",IFERROR(INDEX('판매구성'!$D$2:$D$501,MATCH(A251,'판매구성'!$A$2:$A$501,0)),""))</f>
        <v/>
      </c>
      <c r="D251" s="6" t="n"/>
      <c r="E251" s="6" t="n"/>
      <c r="F251" s="6" t="n"/>
      <c r="G251" s="6" t="n"/>
      <c r="H251" s="6" t="n"/>
      <c r="I251" s="6" t="n"/>
      <c r="J251" s="6" t="n"/>
      <c r="K251" s="6" t="n"/>
    </row>
    <row r="252">
      <c r="B252" s="2">
        <f>IF(A252="","",IFERROR(INDEX('판매구성'!$B$2:$B$501,MATCH(A252,'판매구성'!$A$2:$A$501,0)),""))</f>
        <v/>
      </c>
      <c r="C252" s="4">
        <f>IF(A252="","",IFERROR(INDEX('판매구성'!$D$2:$D$501,MATCH(A252,'판매구성'!$A$2:$A$501,0)),""))</f>
        <v/>
      </c>
      <c r="D252" s="6" t="n"/>
      <c r="E252" s="6" t="n"/>
      <c r="F252" s="6" t="n"/>
      <c r="G252" s="6" t="n"/>
      <c r="H252" s="6" t="n"/>
      <c r="I252" s="6" t="n"/>
      <c r="J252" s="6" t="n"/>
      <c r="K252" s="6" t="n"/>
    </row>
    <row r="253">
      <c r="B253" s="2">
        <f>IF(A253="","",IFERROR(INDEX('판매구성'!$B$2:$B$501,MATCH(A253,'판매구성'!$A$2:$A$501,0)),""))</f>
        <v/>
      </c>
      <c r="C253" s="4">
        <f>IF(A253="","",IFERROR(INDEX('판매구성'!$D$2:$D$501,MATCH(A253,'판매구성'!$A$2:$A$501,0)),""))</f>
        <v/>
      </c>
      <c r="D253" s="6" t="n"/>
      <c r="E253" s="6" t="n"/>
      <c r="F253" s="6" t="n"/>
      <c r="G253" s="6" t="n"/>
      <c r="H253" s="6" t="n"/>
      <c r="I253" s="6" t="n"/>
      <c r="J253" s="6" t="n"/>
      <c r="K253" s="6" t="n"/>
    </row>
    <row r="254">
      <c r="B254" s="2">
        <f>IF(A254="","",IFERROR(INDEX('판매구성'!$B$2:$B$501,MATCH(A254,'판매구성'!$A$2:$A$501,0)),""))</f>
        <v/>
      </c>
      <c r="C254" s="4">
        <f>IF(A254="","",IFERROR(INDEX('판매구성'!$D$2:$D$501,MATCH(A254,'판매구성'!$A$2:$A$501,0)),""))</f>
        <v/>
      </c>
      <c r="D254" s="6" t="n"/>
      <c r="E254" s="6" t="n"/>
      <c r="F254" s="6" t="n"/>
      <c r="G254" s="6" t="n"/>
      <c r="H254" s="6" t="n"/>
      <c r="I254" s="6" t="n"/>
      <c r="J254" s="6" t="n"/>
      <c r="K254" s="6" t="n"/>
    </row>
    <row r="255">
      <c r="B255" s="2">
        <f>IF(A255="","",IFERROR(INDEX('판매구성'!$B$2:$B$501,MATCH(A255,'판매구성'!$A$2:$A$501,0)),""))</f>
        <v/>
      </c>
      <c r="C255" s="4">
        <f>IF(A255="","",IFERROR(INDEX('판매구성'!$D$2:$D$501,MATCH(A255,'판매구성'!$A$2:$A$501,0)),""))</f>
        <v/>
      </c>
      <c r="D255" s="6" t="n"/>
      <c r="E255" s="6" t="n"/>
      <c r="F255" s="6" t="n"/>
      <c r="G255" s="6" t="n"/>
      <c r="H255" s="6" t="n"/>
      <c r="I255" s="6" t="n"/>
      <c r="J255" s="6" t="n"/>
      <c r="K255" s="6" t="n"/>
    </row>
    <row r="256">
      <c r="B256" s="2">
        <f>IF(A256="","",IFERROR(INDEX('판매구성'!$B$2:$B$501,MATCH(A256,'판매구성'!$A$2:$A$501,0)),""))</f>
        <v/>
      </c>
      <c r="C256" s="4">
        <f>IF(A256="","",IFERROR(INDEX('판매구성'!$D$2:$D$501,MATCH(A256,'판매구성'!$A$2:$A$501,0)),""))</f>
        <v/>
      </c>
      <c r="D256" s="6" t="n"/>
      <c r="E256" s="6" t="n"/>
      <c r="F256" s="6" t="n"/>
      <c r="G256" s="6" t="n"/>
      <c r="H256" s="6" t="n"/>
      <c r="I256" s="6" t="n"/>
      <c r="J256" s="6" t="n"/>
      <c r="K256" s="6" t="n"/>
    </row>
    <row r="257">
      <c r="B257" s="2">
        <f>IF(A257="","",IFERROR(INDEX('판매구성'!$B$2:$B$501,MATCH(A257,'판매구성'!$A$2:$A$501,0)),""))</f>
        <v/>
      </c>
      <c r="C257" s="4">
        <f>IF(A257="","",IFERROR(INDEX('판매구성'!$D$2:$D$501,MATCH(A257,'판매구성'!$A$2:$A$501,0)),""))</f>
        <v/>
      </c>
      <c r="D257" s="6" t="n"/>
      <c r="E257" s="6" t="n"/>
      <c r="F257" s="6" t="n"/>
      <c r="G257" s="6" t="n"/>
      <c r="H257" s="6" t="n"/>
      <c r="I257" s="6" t="n"/>
      <c r="J257" s="6" t="n"/>
      <c r="K257" s="6" t="n"/>
    </row>
    <row r="258">
      <c r="B258" s="2">
        <f>IF(A258="","",IFERROR(INDEX('판매구성'!$B$2:$B$501,MATCH(A258,'판매구성'!$A$2:$A$501,0)),""))</f>
        <v/>
      </c>
      <c r="C258" s="4">
        <f>IF(A258="","",IFERROR(INDEX('판매구성'!$D$2:$D$501,MATCH(A258,'판매구성'!$A$2:$A$501,0)),""))</f>
        <v/>
      </c>
      <c r="D258" s="6" t="n"/>
      <c r="E258" s="6" t="n"/>
      <c r="F258" s="6" t="n"/>
      <c r="G258" s="6" t="n"/>
      <c r="H258" s="6" t="n"/>
      <c r="I258" s="6" t="n"/>
      <c r="J258" s="6" t="n"/>
      <c r="K258" s="6" t="n"/>
    </row>
    <row r="259">
      <c r="B259" s="2">
        <f>IF(A259="","",IFERROR(INDEX('판매구성'!$B$2:$B$501,MATCH(A259,'판매구성'!$A$2:$A$501,0)),""))</f>
        <v/>
      </c>
      <c r="C259" s="4">
        <f>IF(A259="","",IFERROR(INDEX('판매구성'!$D$2:$D$501,MATCH(A259,'판매구성'!$A$2:$A$501,0)),""))</f>
        <v/>
      </c>
      <c r="D259" s="6" t="n"/>
      <c r="E259" s="6" t="n"/>
      <c r="F259" s="6" t="n"/>
      <c r="G259" s="6" t="n"/>
      <c r="H259" s="6" t="n"/>
      <c r="I259" s="6" t="n"/>
      <c r="J259" s="6" t="n"/>
      <c r="K259" s="6" t="n"/>
    </row>
    <row r="260">
      <c r="B260" s="2">
        <f>IF(A260="","",IFERROR(INDEX('판매구성'!$B$2:$B$501,MATCH(A260,'판매구성'!$A$2:$A$501,0)),""))</f>
        <v/>
      </c>
      <c r="C260" s="4">
        <f>IF(A260="","",IFERROR(INDEX('판매구성'!$D$2:$D$501,MATCH(A260,'판매구성'!$A$2:$A$501,0)),""))</f>
        <v/>
      </c>
      <c r="D260" s="6" t="n"/>
      <c r="E260" s="6" t="n"/>
      <c r="F260" s="6" t="n"/>
      <c r="G260" s="6" t="n"/>
      <c r="H260" s="6" t="n"/>
      <c r="I260" s="6" t="n"/>
      <c r="J260" s="6" t="n"/>
      <c r="K260" s="6" t="n"/>
    </row>
    <row r="261">
      <c r="B261" s="2">
        <f>IF(A261="","",IFERROR(INDEX('판매구성'!$B$2:$B$501,MATCH(A261,'판매구성'!$A$2:$A$501,0)),""))</f>
        <v/>
      </c>
      <c r="C261" s="4">
        <f>IF(A261="","",IFERROR(INDEX('판매구성'!$D$2:$D$501,MATCH(A261,'판매구성'!$A$2:$A$501,0)),""))</f>
        <v/>
      </c>
      <c r="D261" s="6" t="n"/>
      <c r="E261" s="6" t="n"/>
      <c r="F261" s="6" t="n"/>
      <c r="G261" s="6" t="n"/>
      <c r="H261" s="6" t="n"/>
      <c r="I261" s="6" t="n"/>
      <c r="J261" s="6" t="n"/>
      <c r="K261" s="6" t="n"/>
    </row>
    <row r="262">
      <c r="B262" s="2">
        <f>IF(A262="","",IFERROR(INDEX('판매구성'!$B$2:$B$501,MATCH(A262,'판매구성'!$A$2:$A$501,0)),""))</f>
        <v/>
      </c>
      <c r="C262" s="4">
        <f>IF(A262="","",IFERROR(INDEX('판매구성'!$D$2:$D$501,MATCH(A262,'판매구성'!$A$2:$A$501,0)),""))</f>
        <v/>
      </c>
      <c r="D262" s="6" t="n"/>
      <c r="E262" s="6" t="n"/>
      <c r="F262" s="6" t="n"/>
      <c r="G262" s="6" t="n"/>
      <c r="H262" s="6" t="n"/>
      <c r="I262" s="6" t="n"/>
      <c r="J262" s="6" t="n"/>
      <c r="K262" s="6" t="n"/>
    </row>
    <row r="263">
      <c r="B263" s="2">
        <f>IF(A263="","",IFERROR(INDEX('판매구성'!$B$2:$B$501,MATCH(A263,'판매구성'!$A$2:$A$501,0)),""))</f>
        <v/>
      </c>
      <c r="C263" s="4">
        <f>IF(A263="","",IFERROR(INDEX('판매구성'!$D$2:$D$501,MATCH(A263,'판매구성'!$A$2:$A$501,0)),""))</f>
        <v/>
      </c>
      <c r="D263" s="6" t="n"/>
      <c r="E263" s="6" t="n"/>
      <c r="F263" s="6" t="n"/>
      <c r="G263" s="6" t="n"/>
      <c r="H263" s="6" t="n"/>
      <c r="I263" s="6" t="n"/>
      <c r="J263" s="6" t="n"/>
      <c r="K263" s="6" t="n"/>
    </row>
    <row r="264">
      <c r="B264" s="2">
        <f>IF(A264="","",IFERROR(INDEX('판매구성'!$B$2:$B$501,MATCH(A264,'판매구성'!$A$2:$A$501,0)),""))</f>
        <v/>
      </c>
      <c r="C264" s="4">
        <f>IF(A264="","",IFERROR(INDEX('판매구성'!$D$2:$D$501,MATCH(A264,'판매구성'!$A$2:$A$501,0)),""))</f>
        <v/>
      </c>
      <c r="D264" s="6" t="n"/>
      <c r="E264" s="6" t="n"/>
      <c r="F264" s="6" t="n"/>
      <c r="G264" s="6" t="n"/>
      <c r="H264" s="6" t="n"/>
      <c r="I264" s="6" t="n"/>
      <c r="J264" s="6" t="n"/>
      <c r="K264" s="6" t="n"/>
    </row>
    <row r="265">
      <c r="B265" s="2">
        <f>IF(A265="","",IFERROR(INDEX('판매구성'!$B$2:$B$501,MATCH(A265,'판매구성'!$A$2:$A$501,0)),""))</f>
        <v/>
      </c>
      <c r="C265" s="4">
        <f>IF(A265="","",IFERROR(INDEX('판매구성'!$D$2:$D$501,MATCH(A265,'판매구성'!$A$2:$A$501,0)),""))</f>
        <v/>
      </c>
      <c r="D265" s="6" t="n"/>
      <c r="E265" s="6" t="n"/>
      <c r="F265" s="6" t="n"/>
      <c r="G265" s="6" t="n"/>
      <c r="H265" s="6" t="n"/>
      <c r="I265" s="6" t="n"/>
      <c r="J265" s="6" t="n"/>
      <c r="K265" s="6" t="n"/>
    </row>
    <row r="266">
      <c r="B266" s="2">
        <f>IF(A266="","",IFERROR(INDEX('판매구성'!$B$2:$B$501,MATCH(A266,'판매구성'!$A$2:$A$501,0)),""))</f>
        <v/>
      </c>
      <c r="C266" s="4">
        <f>IF(A266="","",IFERROR(INDEX('판매구성'!$D$2:$D$501,MATCH(A266,'판매구성'!$A$2:$A$501,0)),""))</f>
        <v/>
      </c>
      <c r="D266" s="6" t="n"/>
      <c r="E266" s="6" t="n"/>
      <c r="F266" s="6" t="n"/>
      <c r="G266" s="6" t="n"/>
      <c r="H266" s="6" t="n"/>
      <c r="I266" s="6" t="n"/>
      <c r="J266" s="6" t="n"/>
      <c r="K266" s="6" t="n"/>
    </row>
    <row r="267">
      <c r="B267" s="2">
        <f>IF(A267="","",IFERROR(INDEX('판매구성'!$B$2:$B$501,MATCH(A267,'판매구성'!$A$2:$A$501,0)),""))</f>
        <v/>
      </c>
      <c r="C267" s="4">
        <f>IF(A267="","",IFERROR(INDEX('판매구성'!$D$2:$D$501,MATCH(A267,'판매구성'!$A$2:$A$501,0)),""))</f>
        <v/>
      </c>
      <c r="D267" s="6" t="n"/>
      <c r="E267" s="6" t="n"/>
      <c r="F267" s="6" t="n"/>
      <c r="G267" s="6" t="n"/>
      <c r="H267" s="6" t="n"/>
      <c r="I267" s="6" t="n"/>
      <c r="J267" s="6" t="n"/>
      <c r="K267" s="6" t="n"/>
    </row>
    <row r="268">
      <c r="B268" s="2">
        <f>IF(A268="","",IFERROR(INDEX('판매구성'!$B$2:$B$501,MATCH(A268,'판매구성'!$A$2:$A$501,0)),""))</f>
        <v/>
      </c>
      <c r="C268" s="4">
        <f>IF(A268="","",IFERROR(INDEX('판매구성'!$D$2:$D$501,MATCH(A268,'판매구성'!$A$2:$A$501,0)),""))</f>
        <v/>
      </c>
      <c r="D268" s="6" t="n"/>
      <c r="E268" s="6" t="n"/>
      <c r="F268" s="6" t="n"/>
      <c r="G268" s="6" t="n"/>
      <c r="H268" s="6" t="n"/>
      <c r="I268" s="6" t="n"/>
      <c r="J268" s="6" t="n"/>
      <c r="K268" s="6" t="n"/>
    </row>
    <row r="269">
      <c r="B269" s="2">
        <f>IF(A269="","",IFERROR(INDEX('판매구성'!$B$2:$B$501,MATCH(A269,'판매구성'!$A$2:$A$501,0)),""))</f>
        <v/>
      </c>
      <c r="C269" s="4">
        <f>IF(A269="","",IFERROR(INDEX('판매구성'!$D$2:$D$501,MATCH(A269,'판매구성'!$A$2:$A$501,0)),""))</f>
        <v/>
      </c>
      <c r="D269" s="6" t="n"/>
      <c r="E269" s="6" t="n"/>
      <c r="F269" s="6" t="n"/>
      <c r="G269" s="6" t="n"/>
      <c r="H269" s="6" t="n"/>
      <c r="I269" s="6" t="n"/>
      <c r="J269" s="6" t="n"/>
      <c r="K269" s="6" t="n"/>
    </row>
    <row r="270">
      <c r="B270" s="2">
        <f>IF(A270="","",IFERROR(INDEX('판매구성'!$B$2:$B$501,MATCH(A270,'판매구성'!$A$2:$A$501,0)),""))</f>
        <v/>
      </c>
      <c r="C270" s="4">
        <f>IF(A270="","",IFERROR(INDEX('판매구성'!$D$2:$D$501,MATCH(A270,'판매구성'!$A$2:$A$501,0)),""))</f>
        <v/>
      </c>
      <c r="D270" s="6" t="n"/>
      <c r="E270" s="6" t="n"/>
      <c r="F270" s="6" t="n"/>
      <c r="G270" s="6" t="n"/>
      <c r="H270" s="6" t="n"/>
      <c r="I270" s="6" t="n"/>
      <c r="J270" s="6" t="n"/>
      <c r="K270" s="6" t="n"/>
    </row>
    <row r="271">
      <c r="B271" s="2">
        <f>IF(A271="","",IFERROR(INDEX('판매구성'!$B$2:$B$501,MATCH(A271,'판매구성'!$A$2:$A$501,0)),""))</f>
        <v/>
      </c>
      <c r="C271" s="4">
        <f>IF(A271="","",IFERROR(INDEX('판매구성'!$D$2:$D$501,MATCH(A271,'판매구성'!$A$2:$A$501,0)),""))</f>
        <v/>
      </c>
      <c r="D271" s="6" t="n"/>
      <c r="E271" s="6" t="n"/>
      <c r="F271" s="6" t="n"/>
      <c r="G271" s="6" t="n"/>
      <c r="H271" s="6" t="n"/>
      <c r="I271" s="6" t="n"/>
      <c r="J271" s="6" t="n"/>
      <c r="K271" s="6" t="n"/>
    </row>
    <row r="272">
      <c r="B272" s="2">
        <f>IF(A272="","",IFERROR(INDEX('판매구성'!$B$2:$B$501,MATCH(A272,'판매구성'!$A$2:$A$501,0)),""))</f>
        <v/>
      </c>
      <c r="C272" s="4">
        <f>IF(A272="","",IFERROR(INDEX('판매구성'!$D$2:$D$501,MATCH(A272,'판매구성'!$A$2:$A$501,0)),""))</f>
        <v/>
      </c>
      <c r="D272" s="6" t="n"/>
      <c r="E272" s="6" t="n"/>
      <c r="F272" s="6" t="n"/>
      <c r="G272" s="6" t="n"/>
      <c r="H272" s="6" t="n"/>
      <c r="I272" s="6" t="n"/>
      <c r="J272" s="6" t="n"/>
      <c r="K272" s="6" t="n"/>
    </row>
    <row r="273">
      <c r="B273" s="2">
        <f>IF(A273="","",IFERROR(INDEX('판매구성'!$B$2:$B$501,MATCH(A273,'판매구성'!$A$2:$A$501,0)),""))</f>
        <v/>
      </c>
      <c r="C273" s="4">
        <f>IF(A273="","",IFERROR(INDEX('판매구성'!$D$2:$D$501,MATCH(A273,'판매구성'!$A$2:$A$501,0)),""))</f>
        <v/>
      </c>
      <c r="D273" s="6" t="n"/>
      <c r="E273" s="6" t="n"/>
      <c r="F273" s="6" t="n"/>
      <c r="G273" s="6" t="n"/>
      <c r="H273" s="6" t="n"/>
      <c r="I273" s="6" t="n"/>
      <c r="J273" s="6" t="n"/>
      <c r="K273" s="6" t="n"/>
    </row>
    <row r="274">
      <c r="B274" s="2">
        <f>IF(A274="","",IFERROR(INDEX('판매구성'!$B$2:$B$501,MATCH(A274,'판매구성'!$A$2:$A$501,0)),""))</f>
        <v/>
      </c>
      <c r="C274" s="4">
        <f>IF(A274="","",IFERROR(INDEX('판매구성'!$D$2:$D$501,MATCH(A274,'판매구성'!$A$2:$A$501,0)),""))</f>
        <v/>
      </c>
      <c r="D274" s="6" t="n"/>
      <c r="E274" s="6" t="n"/>
      <c r="F274" s="6" t="n"/>
      <c r="G274" s="6" t="n"/>
      <c r="H274" s="6" t="n"/>
      <c r="I274" s="6" t="n"/>
      <c r="J274" s="6" t="n"/>
      <c r="K274" s="6" t="n"/>
    </row>
    <row r="275">
      <c r="B275" s="2">
        <f>IF(A275="","",IFERROR(INDEX('판매구성'!$B$2:$B$501,MATCH(A275,'판매구성'!$A$2:$A$501,0)),""))</f>
        <v/>
      </c>
      <c r="C275" s="4">
        <f>IF(A275="","",IFERROR(INDEX('판매구성'!$D$2:$D$501,MATCH(A275,'판매구성'!$A$2:$A$501,0)),""))</f>
        <v/>
      </c>
      <c r="D275" s="6" t="n"/>
      <c r="E275" s="6" t="n"/>
      <c r="F275" s="6" t="n"/>
      <c r="G275" s="6" t="n"/>
      <c r="H275" s="6" t="n"/>
      <c r="I275" s="6" t="n"/>
      <c r="J275" s="6" t="n"/>
      <c r="K275" s="6" t="n"/>
    </row>
    <row r="276">
      <c r="B276" s="2">
        <f>IF(A276="","",IFERROR(INDEX('판매구성'!$B$2:$B$501,MATCH(A276,'판매구성'!$A$2:$A$501,0)),""))</f>
        <v/>
      </c>
      <c r="C276" s="4">
        <f>IF(A276="","",IFERROR(INDEX('판매구성'!$D$2:$D$501,MATCH(A276,'판매구성'!$A$2:$A$501,0)),""))</f>
        <v/>
      </c>
      <c r="D276" s="6" t="n"/>
      <c r="E276" s="6" t="n"/>
      <c r="F276" s="6" t="n"/>
      <c r="G276" s="6" t="n"/>
      <c r="H276" s="6" t="n"/>
      <c r="I276" s="6" t="n"/>
      <c r="J276" s="6" t="n"/>
      <c r="K276" s="6" t="n"/>
    </row>
    <row r="277">
      <c r="B277" s="2">
        <f>IF(A277="","",IFERROR(INDEX('판매구성'!$B$2:$B$501,MATCH(A277,'판매구성'!$A$2:$A$501,0)),""))</f>
        <v/>
      </c>
      <c r="C277" s="4">
        <f>IF(A277="","",IFERROR(INDEX('판매구성'!$D$2:$D$501,MATCH(A277,'판매구성'!$A$2:$A$501,0)),""))</f>
        <v/>
      </c>
      <c r="D277" s="6" t="n"/>
      <c r="E277" s="6" t="n"/>
      <c r="F277" s="6" t="n"/>
      <c r="G277" s="6" t="n"/>
      <c r="H277" s="6" t="n"/>
      <c r="I277" s="6" t="n"/>
      <c r="J277" s="6" t="n"/>
      <c r="K277" s="6" t="n"/>
    </row>
    <row r="278">
      <c r="B278" s="2">
        <f>IF(A278="","",IFERROR(INDEX('판매구성'!$B$2:$B$501,MATCH(A278,'판매구성'!$A$2:$A$501,0)),""))</f>
        <v/>
      </c>
      <c r="C278" s="4">
        <f>IF(A278="","",IFERROR(INDEX('판매구성'!$D$2:$D$501,MATCH(A278,'판매구성'!$A$2:$A$501,0)),""))</f>
        <v/>
      </c>
      <c r="D278" s="6" t="n"/>
      <c r="E278" s="6" t="n"/>
      <c r="F278" s="6" t="n"/>
      <c r="G278" s="6" t="n"/>
      <c r="H278" s="6" t="n"/>
      <c r="I278" s="6" t="n"/>
      <c r="J278" s="6" t="n"/>
      <c r="K278" s="6" t="n"/>
    </row>
    <row r="279">
      <c r="B279" s="2">
        <f>IF(A279="","",IFERROR(INDEX('판매구성'!$B$2:$B$501,MATCH(A279,'판매구성'!$A$2:$A$501,0)),""))</f>
        <v/>
      </c>
      <c r="C279" s="4">
        <f>IF(A279="","",IFERROR(INDEX('판매구성'!$D$2:$D$501,MATCH(A279,'판매구성'!$A$2:$A$501,0)),""))</f>
        <v/>
      </c>
      <c r="D279" s="6" t="n"/>
      <c r="E279" s="6" t="n"/>
      <c r="F279" s="6" t="n"/>
      <c r="G279" s="6" t="n"/>
      <c r="H279" s="6" t="n"/>
      <c r="I279" s="6" t="n"/>
      <c r="J279" s="6" t="n"/>
      <c r="K279" s="6" t="n"/>
    </row>
    <row r="280">
      <c r="B280" s="2">
        <f>IF(A280="","",IFERROR(INDEX('판매구성'!$B$2:$B$501,MATCH(A280,'판매구성'!$A$2:$A$501,0)),""))</f>
        <v/>
      </c>
      <c r="C280" s="4">
        <f>IF(A280="","",IFERROR(INDEX('판매구성'!$D$2:$D$501,MATCH(A280,'판매구성'!$A$2:$A$501,0)),""))</f>
        <v/>
      </c>
      <c r="D280" s="6" t="n"/>
      <c r="E280" s="6" t="n"/>
      <c r="F280" s="6" t="n"/>
      <c r="G280" s="6" t="n"/>
      <c r="H280" s="6" t="n"/>
      <c r="I280" s="6" t="n"/>
      <c r="J280" s="6" t="n"/>
      <c r="K280" s="6" t="n"/>
    </row>
    <row r="281">
      <c r="B281" s="2">
        <f>IF(A281="","",IFERROR(INDEX('판매구성'!$B$2:$B$501,MATCH(A281,'판매구성'!$A$2:$A$501,0)),""))</f>
        <v/>
      </c>
      <c r="C281" s="4">
        <f>IF(A281="","",IFERROR(INDEX('판매구성'!$D$2:$D$501,MATCH(A281,'판매구성'!$A$2:$A$501,0)),""))</f>
        <v/>
      </c>
      <c r="D281" s="6" t="n"/>
      <c r="E281" s="6" t="n"/>
      <c r="F281" s="6" t="n"/>
      <c r="G281" s="6" t="n"/>
      <c r="H281" s="6" t="n"/>
      <c r="I281" s="6" t="n"/>
      <c r="J281" s="6" t="n"/>
      <c r="K281" s="6" t="n"/>
    </row>
    <row r="282">
      <c r="B282" s="2">
        <f>IF(A282="","",IFERROR(INDEX('판매구성'!$B$2:$B$501,MATCH(A282,'판매구성'!$A$2:$A$501,0)),""))</f>
        <v/>
      </c>
      <c r="C282" s="4">
        <f>IF(A282="","",IFERROR(INDEX('판매구성'!$D$2:$D$501,MATCH(A282,'판매구성'!$A$2:$A$501,0)),""))</f>
        <v/>
      </c>
      <c r="D282" s="6" t="n"/>
      <c r="E282" s="6" t="n"/>
      <c r="F282" s="6" t="n"/>
      <c r="G282" s="6" t="n"/>
      <c r="H282" s="6" t="n"/>
      <c r="I282" s="6" t="n"/>
      <c r="J282" s="6" t="n"/>
      <c r="K282" s="6" t="n"/>
    </row>
    <row r="283">
      <c r="B283" s="2">
        <f>IF(A283="","",IFERROR(INDEX('판매구성'!$B$2:$B$501,MATCH(A283,'판매구성'!$A$2:$A$501,0)),""))</f>
        <v/>
      </c>
      <c r="C283" s="4">
        <f>IF(A283="","",IFERROR(INDEX('판매구성'!$D$2:$D$501,MATCH(A283,'판매구성'!$A$2:$A$501,0)),""))</f>
        <v/>
      </c>
      <c r="D283" s="6" t="n"/>
      <c r="E283" s="6" t="n"/>
      <c r="F283" s="6" t="n"/>
      <c r="G283" s="6" t="n"/>
      <c r="H283" s="6" t="n"/>
      <c r="I283" s="6" t="n"/>
      <c r="J283" s="6" t="n"/>
      <c r="K283" s="6" t="n"/>
    </row>
    <row r="284">
      <c r="B284" s="2">
        <f>IF(A284="","",IFERROR(INDEX('판매구성'!$B$2:$B$501,MATCH(A284,'판매구성'!$A$2:$A$501,0)),""))</f>
        <v/>
      </c>
      <c r="C284" s="4">
        <f>IF(A284="","",IFERROR(INDEX('판매구성'!$D$2:$D$501,MATCH(A284,'판매구성'!$A$2:$A$501,0)),""))</f>
        <v/>
      </c>
      <c r="D284" s="6" t="n"/>
      <c r="E284" s="6" t="n"/>
      <c r="F284" s="6" t="n"/>
      <c r="G284" s="6" t="n"/>
      <c r="H284" s="6" t="n"/>
      <c r="I284" s="6" t="n"/>
      <c r="J284" s="6" t="n"/>
      <c r="K284" s="6" t="n"/>
    </row>
    <row r="285">
      <c r="B285" s="2">
        <f>IF(A285="","",IFERROR(INDEX('판매구성'!$B$2:$B$501,MATCH(A285,'판매구성'!$A$2:$A$501,0)),""))</f>
        <v/>
      </c>
      <c r="C285" s="4">
        <f>IF(A285="","",IFERROR(INDEX('판매구성'!$D$2:$D$501,MATCH(A285,'판매구성'!$A$2:$A$501,0)),""))</f>
        <v/>
      </c>
      <c r="D285" s="6" t="n"/>
      <c r="E285" s="6" t="n"/>
      <c r="F285" s="6" t="n"/>
      <c r="G285" s="6" t="n"/>
      <c r="H285" s="6" t="n"/>
      <c r="I285" s="6" t="n"/>
      <c r="J285" s="6" t="n"/>
      <c r="K285" s="6" t="n"/>
    </row>
    <row r="286">
      <c r="B286" s="2">
        <f>IF(A286="","",IFERROR(INDEX('판매구성'!$B$2:$B$501,MATCH(A286,'판매구성'!$A$2:$A$501,0)),""))</f>
        <v/>
      </c>
      <c r="C286" s="4">
        <f>IF(A286="","",IFERROR(INDEX('판매구성'!$D$2:$D$501,MATCH(A286,'판매구성'!$A$2:$A$501,0)),""))</f>
        <v/>
      </c>
      <c r="D286" s="6" t="n"/>
      <c r="E286" s="6" t="n"/>
      <c r="F286" s="6" t="n"/>
      <c r="G286" s="6" t="n"/>
      <c r="H286" s="6" t="n"/>
      <c r="I286" s="6" t="n"/>
      <c r="J286" s="6" t="n"/>
      <c r="K286" s="6" t="n"/>
    </row>
    <row r="287">
      <c r="B287" s="2">
        <f>IF(A287="","",IFERROR(INDEX('판매구성'!$B$2:$B$501,MATCH(A287,'판매구성'!$A$2:$A$501,0)),""))</f>
        <v/>
      </c>
      <c r="C287" s="4">
        <f>IF(A287="","",IFERROR(INDEX('판매구성'!$D$2:$D$501,MATCH(A287,'판매구성'!$A$2:$A$501,0)),""))</f>
        <v/>
      </c>
      <c r="D287" s="6" t="n"/>
      <c r="E287" s="6" t="n"/>
      <c r="F287" s="6" t="n"/>
      <c r="G287" s="6" t="n"/>
      <c r="H287" s="6" t="n"/>
      <c r="I287" s="6" t="n"/>
      <c r="J287" s="6" t="n"/>
      <c r="K287" s="6" t="n"/>
    </row>
    <row r="288">
      <c r="B288" s="2">
        <f>IF(A288="","",IFERROR(INDEX('판매구성'!$B$2:$B$501,MATCH(A288,'판매구성'!$A$2:$A$501,0)),""))</f>
        <v/>
      </c>
      <c r="C288" s="4">
        <f>IF(A288="","",IFERROR(INDEX('판매구성'!$D$2:$D$501,MATCH(A288,'판매구성'!$A$2:$A$501,0)),""))</f>
        <v/>
      </c>
      <c r="D288" s="6" t="n"/>
      <c r="E288" s="6" t="n"/>
      <c r="F288" s="6" t="n"/>
      <c r="G288" s="6" t="n"/>
      <c r="H288" s="6" t="n"/>
      <c r="I288" s="6" t="n"/>
      <c r="J288" s="6" t="n"/>
      <c r="K288" s="6" t="n"/>
    </row>
    <row r="289">
      <c r="B289" s="2">
        <f>IF(A289="","",IFERROR(INDEX('판매구성'!$B$2:$B$501,MATCH(A289,'판매구성'!$A$2:$A$501,0)),""))</f>
        <v/>
      </c>
      <c r="C289" s="4">
        <f>IF(A289="","",IFERROR(INDEX('판매구성'!$D$2:$D$501,MATCH(A289,'판매구성'!$A$2:$A$501,0)),""))</f>
        <v/>
      </c>
      <c r="D289" s="6" t="n"/>
      <c r="E289" s="6" t="n"/>
      <c r="F289" s="6" t="n"/>
      <c r="G289" s="6" t="n"/>
      <c r="H289" s="6" t="n"/>
      <c r="I289" s="6" t="n"/>
      <c r="J289" s="6" t="n"/>
      <c r="K289" s="6" t="n"/>
    </row>
    <row r="290">
      <c r="B290" s="2">
        <f>IF(A290="","",IFERROR(INDEX('판매구성'!$B$2:$B$501,MATCH(A290,'판매구성'!$A$2:$A$501,0)),""))</f>
        <v/>
      </c>
      <c r="C290" s="4">
        <f>IF(A290="","",IFERROR(INDEX('판매구성'!$D$2:$D$501,MATCH(A290,'판매구성'!$A$2:$A$501,0)),""))</f>
        <v/>
      </c>
      <c r="D290" s="6" t="n"/>
      <c r="E290" s="6" t="n"/>
      <c r="F290" s="6" t="n"/>
      <c r="G290" s="6" t="n"/>
      <c r="H290" s="6" t="n"/>
      <c r="I290" s="6" t="n"/>
      <c r="J290" s="6" t="n"/>
      <c r="K290" s="6" t="n"/>
    </row>
    <row r="291">
      <c r="B291" s="2">
        <f>IF(A291="","",IFERROR(INDEX('판매구성'!$B$2:$B$501,MATCH(A291,'판매구성'!$A$2:$A$501,0)),""))</f>
        <v/>
      </c>
      <c r="C291" s="4">
        <f>IF(A291="","",IFERROR(INDEX('판매구성'!$D$2:$D$501,MATCH(A291,'판매구성'!$A$2:$A$501,0)),""))</f>
        <v/>
      </c>
      <c r="D291" s="6" t="n"/>
      <c r="E291" s="6" t="n"/>
      <c r="F291" s="6" t="n"/>
      <c r="G291" s="6" t="n"/>
      <c r="H291" s="6" t="n"/>
      <c r="I291" s="6" t="n"/>
      <c r="J291" s="6" t="n"/>
      <c r="K291" s="6" t="n"/>
    </row>
    <row r="292">
      <c r="B292" s="2">
        <f>IF(A292="","",IFERROR(INDEX('판매구성'!$B$2:$B$501,MATCH(A292,'판매구성'!$A$2:$A$501,0)),""))</f>
        <v/>
      </c>
      <c r="C292" s="4">
        <f>IF(A292="","",IFERROR(INDEX('판매구성'!$D$2:$D$501,MATCH(A292,'판매구성'!$A$2:$A$501,0)),""))</f>
        <v/>
      </c>
      <c r="D292" s="6" t="n"/>
      <c r="E292" s="6" t="n"/>
      <c r="F292" s="6" t="n"/>
      <c r="G292" s="6" t="n"/>
      <c r="H292" s="6" t="n"/>
      <c r="I292" s="6" t="n"/>
      <c r="J292" s="6" t="n"/>
      <c r="K292" s="6" t="n"/>
    </row>
    <row r="293">
      <c r="B293" s="2">
        <f>IF(A293="","",IFERROR(INDEX('판매구성'!$B$2:$B$501,MATCH(A293,'판매구성'!$A$2:$A$501,0)),""))</f>
        <v/>
      </c>
      <c r="C293" s="4">
        <f>IF(A293="","",IFERROR(INDEX('판매구성'!$D$2:$D$501,MATCH(A293,'판매구성'!$A$2:$A$501,0)),""))</f>
        <v/>
      </c>
      <c r="D293" s="6" t="n"/>
      <c r="E293" s="6" t="n"/>
      <c r="F293" s="6" t="n"/>
      <c r="G293" s="6" t="n"/>
      <c r="H293" s="6" t="n"/>
      <c r="I293" s="6" t="n"/>
      <c r="J293" s="6" t="n"/>
      <c r="K293" s="6" t="n"/>
    </row>
    <row r="294">
      <c r="B294" s="2">
        <f>IF(A294="","",IFERROR(INDEX('판매구성'!$B$2:$B$501,MATCH(A294,'판매구성'!$A$2:$A$501,0)),""))</f>
        <v/>
      </c>
      <c r="C294" s="4">
        <f>IF(A294="","",IFERROR(INDEX('판매구성'!$D$2:$D$501,MATCH(A294,'판매구성'!$A$2:$A$501,0)),""))</f>
        <v/>
      </c>
      <c r="D294" s="6" t="n"/>
      <c r="E294" s="6" t="n"/>
      <c r="F294" s="6" t="n"/>
      <c r="G294" s="6" t="n"/>
      <c r="H294" s="6" t="n"/>
      <c r="I294" s="6" t="n"/>
      <c r="J294" s="6" t="n"/>
      <c r="K294" s="6" t="n"/>
    </row>
    <row r="295">
      <c r="B295" s="2">
        <f>IF(A295="","",IFERROR(INDEX('판매구성'!$B$2:$B$501,MATCH(A295,'판매구성'!$A$2:$A$501,0)),""))</f>
        <v/>
      </c>
      <c r="C295" s="4">
        <f>IF(A295="","",IFERROR(INDEX('판매구성'!$D$2:$D$501,MATCH(A295,'판매구성'!$A$2:$A$501,0)),""))</f>
        <v/>
      </c>
      <c r="D295" s="6" t="n"/>
      <c r="E295" s="6" t="n"/>
      <c r="F295" s="6" t="n"/>
      <c r="G295" s="6" t="n"/>
      <c r="H295" s="6" t="n"/>
      <c r="I295" s="6" t="n"/>
      <c r="J295" s="6" t="n"/>
      <c r="K295" s="6" t="n"/>
    </row>
    <row r="296">
      <c r="B296" s="2">
        <f>IF(A296="","",IFERROR(INDEX('판매구성'!$B$2:$B$501,MATCH(A296,'판매구성'!$A$2:$A$501,0)),""))</f>
        <v/>
      </c>
      <c r="C296" s="4">
        <f>IF(A296="","",IFERROR(INDEX('판매구성'!$D$2:$D$501,MATCH(A296,'판매구성'!$A$2:$A$501,0)),""))</f>
        <v/>
      </c>
      <c r="D296" s="6" t="n"/>
      <c r="E296" s="6" t="n"/>
      <c r="F296" s="6" t="n"/>
      <c r="G296" s="6" t="n"/>
      <c r="H296" s="6" t="n"/>
      <c r="I296" s="6" t="n"/>
      <c r="J296" s="6" t="n"/>
      <c r="K296" s="6" t="n"/>
    </row>
    <row r="297">
      <c r="B297" s="2">
        <f>IF(A297="","",IFERROR(INDEX('판매구성'!$B$2:$B$501,MATCH(A297,'판매구성'!$A$2:$A$501,0)),""))</f>
        <v/>
      </c>
      <c r="C297" s="4">
        <f>IF(A297="","",IFERROR(INDEX('판매구성'!$D$2:$D$501,MATCH(A297,'판매구성'!$A$2:$A$501,0)),""))</f>
        <v/>
      </c>
      <c r="D297" s="6" t="n"/>
      <c r="E297" s="6" t="n"/>
      <c r="F297" s="6" t="n"/>
      <c r="G297" s="6" t="n"/>
      <c r="H297" s="6" t="n"/>
      <c r="I297" s="6" t="n"/>
      <c r="J297" s="6" t="n"/>
      <c r="K297" s="6" t="n"/>
    </row>
    <row r="298">
      <c r="B298" s="2">
        <f>IF(A298="","",IFERROR(INDEX('판매구성'!$B$2:$B$501,MATCH(A298,'판매구성'!$A$2:$A$501,0)),""))</f>
        <v/>
      </c>
      <c r="C298" s="4">
        <f>IF(A298="","",IFERROR(INDEX('판매구성'!$D$2:$D$501,MATCH(A298,'판매구성'!$A$2:$A$501,0)),""))</f>
        <v/>
      </c>
      <c r="D298" s="6" t="n"/>
      <c r="E298" s="6" t="n"/>
      <c r="F298" s="6" t="n"/>
      <c r="G298" s="6" t="n"/>
      <c r="H298" s="6" t="n"/>
      <c r="I298" s="6" t="n"/>
      <c r="J298" s="6" t="n"/>
      <c r="K298" s="6" t="n"/>
    </row>
    <row r="299">
      <c r="B299" s="2">
        <f>IF(A299="","",IFERROR(INDEX('판매구성'!$B$2:$B$501,MATCH(A299,'판매구성'!$A$2:$A$501,0)),""))</f>
        <v/>
      </c>
      <c r="C299" s="4">
        <f>IF(A299="","",IFERROR(INDEX('판매구성'!$D$2:$D$501,MATCH(A299,'판매구성'!$A$2:$A$501,0)),""))</f>
        <v/>
      </c>
      <c r="D299" s="6" t="n"/>
      <c r="E299" s="6" t="n"/>
      <c r="F299" s="6" t="n"/>
      <c r="G299" s="6" t="n"/>
      <c r="H299" s="6" t="n"/>
      <c r="I299" s="6" t="n"/>
      <c r="J299" s="6" t="n"/>
      <c r="K299" s="6" t="n"/>
    </row>
    <row r="300">
      <c r="B300" s="2">
        <f>IF(A300="","",IFERROR(INDEX('판매구성'!$B$2:$B$501,MATCH(A300,'판매구성'!$A$2:$A$501,0)),""))</f>
        <v/>
      </c>
      <c r="C300" s="4">
        <f>IF(A300="","",IFERROR(INDEX('판매구성'!$D$2:$D$501,MATCH(A300,'판매구성'!$A$2:$A$501,0)),""))</f>
        <v/>
      </c>
      <c r="D300" s="6" t="n"/>
      <c r="E300" s="6" t="n"/>
      <c r="F300" s="6" t="n"/>
      <c r="G300" s="6" t="n"/>
      <c r="H300" s="6" t="n"/>
      <c r="I300" s="6" t="n"/>
      <c r="J300" s="6" t="n"/>
      <c r="K300" s="6" t="n"/>
    </row>
    <row r="301">
      <c r="B301" s="2">
        <f>IF(A301="","",IFERROR(INDEX('판매구성'!$B$2:$B$501,MATCH(A301,'판매구성'!$A$2:$A$501,0)),""))</f>
        <v/>
      </c>
      <c r="C301" s="4">
        <f>IF(A301="","",IFERROR(INDEX('판매구성'!$D$2:$D$501,MATCH(A301,'판매구성'!$A$2:$A$501,0)),""))</f>
        <v/>
      </c>
      <c r="D301" s="6" t="n"/>
      <c r="E301" s="6" t="n"/>
      <c r="F301" s="6" t="n"/>
      <c r="G301" s="6" t="n"/>
      <c r="H301" s="6" t="n"/>
      <c r="I301" s="6" t="n"/>
      <c r="J301" s="6" t="n"/>
      <c r="K301" s="6" t="n"/>
    </row>
    <row r="302">
      <c r="B302" s="2">
        <f>IF(A302="","",IFERROR(INDEX('판매구성'!$B$2:$B$501,MATCH(A302,'판매구성'!$A$2:$A$501,0)),""))</f>
        <v/>
      </c>
      <c r="C302" s="4">
        <f>IF(A302="","",IFERROR(INDEX('판매구성'!$D$2:$D$501,MATCH(A302,'판매구성'!$A$2:$A$501,0)),""))</f>
        <v/>
      </c>
      <c r="D302" s="6" t="n"/>
      <c r="E302" s="6" t="n"/>
      <c r="F302" s="6" t="n"/>
      <c r="G302" s="6" t="n"/>
      <c r="H302" s="6" t="n"/>
      <c r="I302" s="6" t="n"/>
      <c r="J302" s="6" t="n"/>
      <c r="K302" s="6" t="n"/>
    </row>
    <row r="303">
      <c r="B303" s="2">
        <f>IF(A303="","",IFERROR(INDEX('판매구성'!$B$2:$B$501,MATCH(A303,'판매구성'!$A$2:$A$501,0)),""))</f>
        <v/>
      </c>
      <c r="C303" s="4">
        <f>IF(A303="","",IFERROR(INDEX('판매구성'!$D$2:$D$501,MATCH(A303,'판매구성'!$A$2:$A$501,0)),""))</f>
        <v/>
      </c>
      <c r="D303" s="6" t="n"/>
      <c r="E303" s="6" t="n"/>
      <c r="F303" s="6" t="n"/>
      <c r="G303" s="6" t="n"/>
      <c r="H303" s="6" t="n"/>
      <c r="I303" s="6" t="n"/>
      <c r="J303" s="6" t="n"/>
      <c r="K303" s="6" t="n"/>
    </row>
    <row r="304">
      <c r="B304" s="2">
        <f>IF(A304="","",IFERROR(INDEX('판매구성'!$B$2:$B$501,MATCH(A304,'판매구성'!$A$2:$A$501,0)),""))</f>
        <v/>
      </c>
      <c r="C304" s="4">
        <f>IF(A304="","",IFERROR(INDEX('판매구성'!$D$2:$D$501,MATCH(A304,'판매구성'!$A$2:$A$501,0)),""))</f>
        <v/>
      </c>
      <c r="D304" s="6" t="n"/>
      <c r="E304" s="6" t="n"/>
      <c r="F304" s="6" t="n"/>
      <c r="G304" s="6" t="n"/>
      <c r="H304" s="6" t="n"/>
      <c r="I304" s="6" t="n"/>
      <c r="J304" s="6" t="n"/>
      <c r="K304" s="6" t="n"/>
    </row>
    <row r="305">
      <c r="B305" s="2">
        <f>IF(A305="","",IFERROR(INDEX('판매구성'!$B$2:$B$501,MATCH(A305,'판매구성'!$A$2:$A$501,0)),""))</f>
        <v/>
      </c>
      <c r="C305" s="4">
        <f>IF(A305="","",IFERROR(INDEX('판매구성'!$D$2:$D$501,MATCH(A305,'판매구성'!$A$2:$A$501,0)),""))</f>
        <v/>
      </c>
      <c r="D305" s="6" t="n"/>
      <c r="E305" s="6" t="n"/>
      <c r="F305" s="6" t="n"/>
      <c r="G305" s="6" t="n"/>
      <c r="H305" s="6" t="n"/>
      <c r="I305" s="6" t="n"/>
      <c r="J305" s="6" t="n"/>
      <c r="K305" s="6" t="n"/>
    </row>
    <row r="306">
      <c r="B306" s="2">
        <f>IF(A306="","",IFERROR(INDEX('판매구성'!$B$2:$B$501,MATCH(A306,'판매구성'!$A$2:$A$501,0)),""))</f>
        <v/>
      </c>
      <c r="C306" s="4">
        <f>IF(A306="","",IFERROR(INDEX('판매구성'!$D$2:$D$501,MATCH(A306,'판매구성'!$A$2:$A$501,0)),""))</f>
        <v/>
      </c>
      <c r="D306" s="6" t="n"/>
      <c r="E306" s="6" t="n"/>
      <c r="F306" s="6" t="n"/>
      <c r="G306" s="6" t="n"/>
      <c r="H306" s="6" t="n"/>
      <c r="I306" s="6" t="n"/>
      <c r="J306" s="6" t="n"/>
      <c r="K306" s="6" t="n"/>
    </row>
    <row r="307">
      <c r="B307" s="2">
        <f>IF(A307="","",IFERROR(INDEX('판매구성'!$B$2:$B$501,MATCH(A307,'판매구성'!$A$2:$A$501,0)),""))</f>
        <v/>
      </c>
      <c r="C307" s="4">
        <f>IF(A307="","",IFERROR(INDEX('판매구성'!$D$2:$D$501,MATCH(A307,'판매구성'!$A$2:$A$501,0)),""))</f>
        <v/>
      </c>
      <c r="D307" s="6" t="n"/>
      <c r="E307" s="6" t="n"/>
      <c r="F307" s="6" t="n"/>
      <c r="G307" s="6" t="n"/>
      <c r="H307" s="6" t="n"/>
      <c r="I307" s="6" t="n"/>
      <c r="J307" s="6" t="n"/>
      <c r="K307" s="6" t="n"/>
    </row>
    <row r="308">
      <c r="B308" s="2">
        <f>IF(A308="","",IFERROR(INDEX('판매구성'!$B$2:$B$501,MATCH(A308,'판매구성'!$A$2:$A$501,0)),""))</f>
        <v/>
      </c>
      <c r="C308" s="4">
        <f>IF(A308="","",IFERROR(INDEX('판매구성'!$D$2:$D$501,MATCH(A308,'판매구성'!$A$2:$A$501,0)),""))</f>
        <v/>
      </c>
      <c r="D308" s="6" t="n"/>
      <c r="E308" s="6" t="n"/>
      <c r="F308" s="6" t="n"/>
      <c r="G308" s="6" t="n"/>
      <c r="H308" s="6" t="n"/>
      <c r="I308" s="6" t="n"/>
      <c r="J308" s="6" t="n"/>
      <c r="K308" s="6" t="n"/>
    </row>
    <row r="309">
      <c r="B309" s="2">
        <f>IF(A309="","",IFERROR(INDEX('판매구성'!$B$2:$B$501,MATCH(A309,'판매구성'!$A$2:$A$501,0)),""))</f>
        <v/>
      </c>
      <c r="C309" s="4">
        <f>IF(A309="","",IFERROR(INDEX('판매구성'!$D$2:$D$501,MATCH(A309,'판매구성'!$A$2:$A$501,0)),""))</f>
        <v/>
      </c>
      <c r="D309" s="6" t="n"/>
      <c r="E309" s="6" t="n"/>
      <c r="F309" s="6" t="n"/>
      <c r="G309" s="6" t="n"/>
      <c r="H309" s="6" t="n"/>
      <c r="I309" s="6" t="n"/>
      <c r="J309" s="6" t="n"/>
      <c r="K309" s="6" t="n"/>
    </row>
    <row r="310">
      <c r="B310" s="2">
        <f>IF(A310="","",IFERROR(INDEX('판매구성'!$B$2:$B$501,MATCH(A310,'판매구성'!$A$2:$A$501,0)),""))</f>
        <v/>
      </c>
      <c r="C310" s="4">
        <f>IF(A310="","",IFERROR(INDEX('판매구성'!$D$2:$D$501,MATCH(A310,'판매구성'!$A$2:$A$501,0)),""))</f>
        <v/>
      </c>
      <c r="D310" s="6" t="n"/>
      <c r="E310" s="6" t="n"/>
      <c r="F310" s="6" t="n"/>
      <c r="G310" s="6" t="n"/>
      <c r="H310" s="6" t="n"/>
      <c r="I310" s="6" t="n"/>
      <c r="J310" s="6" t="n"/>
      <c r="K310" s="6" t="n"/>
    </row>
    <row r="311">
      <c r="B311" s="2">
        <f>IF(A311="","",IFERROR(INDEX('판매구성'!$B$2:$B$501,MATCH(A311,'판매구성'!$A$2:$A$501,0)),""))</f>
        <v/>
      </c>
      <c r="C311" s="4">
        <f>IF(A311="","",IFERROR(INDEX('판매구성'!$D$2:$D$501,MATCH(A311,'판매구성'!$A$2:$A$501,0)),""))</f>
        <v/>
      </c>
      <c r="D311" s="6" t="n"/>
      <c r="E311" s="6" t="n"/>
      <c r="F311" s="6" t="n"/>
      <c r="G311" s="6" t="n"/>
      <c r="H311" s="6" t="n"/>
      <c r="I311" s="6" t="n"/>
      <c r="J311" s="6" t="n"/>
      <c r="K311" s="6" t="n"/>
    </row>
    <row r="312">
      <c r="B312" s="2">
        <f>IF(A312="","",IFERROR(INDEX('판매구성'!$B$2:$B$501,MATCH(A312,'판매구성'!$A$2:$A$501,0)),""))</f>
        <v/>
      </c>
      <c r="C312" s="4">
        <f>IF(A312="","",IFERROR(INDEX('판매구성'!$D$2:$D$501,MATCH(A312,'판매구성'!$A$2:$A$501,0)),""))</f>
        <v/>
      </c>
      <c r="D312" s="6" t="n"/>
      <c r="E312" s="6" t="n"/>
      <c r="F312" s="6" t="n"/>
      <c r="G312" s="6" t="n"/>
      <c r="H312" s="6" t="n"/>
      <c r="I312" s="6" t="n"/>
      <c r="J312" s="6" t="n"/>
      <c r="K312" s="6" t="n"/>
    </row>
    <row r="313">
      <c r="B313" s="2">
        <f>IF(A313="","",IFERROR(INDEX('판매구성'!$B$2:$B$501,MATCH(A313,'판매구성'!$A$2:$A$501,0)),""))</f>
        <v/>
      </c>
      <c r="C313" s="4">
        <f>IF(A313="","",IFERROR(INDEX('판매구성'!$D$2:$D$501,MATCH(A313,'판매구성'!$A$2:$A$501,0)),""))</f>
        <v/>
      </c>
      <c r="D313" s="6" t="n"/>
      <c r="E313" s="6" t="n"/>
      <c r="F313" s="6" t="n"/>
      <c r="G313" s="6" t="n"/>
      <c r="H313" s="6" t="n"/>
      <c r="I313" s="6" t="n"/>
      <c r="J313" s="6" t="n"/>
      <c r="K313" s="6" t="n"/>
    </row>
    <row r="314">
      <c r="B314" s="2">
        <f>IF(A314="","",IFERROR(INDEX('판매구성'!$B$2:$B$501,MATCH(A314,'판매구성'!$A$2:$A$501,0)),""))</f>
        <v/>
      </c>
      <c r="C314" s="4">
        <f>IF(A314="","",IFERROR(INDEX('판매구성'!$D$2:$D$501,MATCH(A314,'판매구성'!$A$2:$A$501,0)),""))</f>
        <v/>
      </c>
      <c r="D314" s="6" t="n"/>
      <c r="E314" s="6" t="n"/>
      <c r="F314" s="6" t="n"/>
      <c r="G314" s="6" t="n"/>
      <c r="H314" s="6" t="n"/>
      <c r="I314" s="6" t="n"/>
      <c r="J314" s="6" t="n"/>
      <c r="K314" s="6" t="n"/>
    </row>
    <row r="315">
      <c r="B315" s="2">
        <f>IF(A315="","",IFERROR(INDEX('판매구성'!$B$2:$B$501,MATCH(A315,'판매구성'!$A$2:$A$501,0)),""))</f>
        <v/>
      </c>
      <c r="C315" s="4">
        <f>IF(A315="","",IFERROR(INDEX('판매구성'!$D$2:$D$501,MATCH(A315,'판매구성'!$A$2:$A$501,0)),""))</f>
        <v/>
      </c>
      <c r="D315" s="6" t="n"/>
      <c r="E315" s="6" t="n"/>
      <c r="F315" s="6" t="n"/>
      <c r="G315" s="6" t="n"/>
      <c r="H315" s="6" t="n"/>
      <c r="I315" s="6" t="n"/>
      <c r="J315" s="6" t="n"/>
      <c r="K315" s="6" t="n"/>
    </row>
    <row r="316">
      <c r="B316" s="2">
        <f>IF(A316="","",IFERROR(INDEX('판매구성'!$B$2:$B$501,MATCH(A316,'판매구성'!$A$2:$A$501,0)),""))</f>
        <v/>
      </c>
      <c r="C316" s="4">
        <f>IF(A316="","",IFERROR(INDEX('판매구성'!$D$2:$D$501,MATCH(A316,'판매구성'!$A$2:$A$501,0)),""))</f>
        <v/>
      </c>
      <c r="D316" s="6" t="n"/>
      <c r="E316" s="6" t="n"/>
      <c r="F316" s="6" t="n"/>
      <c r="G316" s="6" t="n"/>
      <c r="H316" s="6" t="n"/>
      <c r="I316" s="6" t="n"/>
      <c r="J316" s="6" t="n"/>
      <c r="K316" s="6" t="n"/>
    </row>
    <row r="317">
      <c r="B317" s="2">
        <f>IF(A317="","",IFERROR(INDEX('판매구성'!$B$2:$B$501,MATCH(A317,'판매구성'!$A$2:$A$501,0)),""))</f>
        <v/>
      </c>
      <c r="C317" s="4">
        <f>IF(A317="","",IFERROR(INDEX('판매구성'!$D$2:$D$501,MATCH(A317,'판매구성'!$A$2:$A$501,0)),""))</f>
        <v/>
      </c>
      <c r="D317" s="6" t="n"/>
      <c r="E317" s="6" t="n"/>
      <c r="F317" s="6" t="n"/>
      <c r="G317" s="6" t="n"/>
      <c r="H317" s="6" t="n"/>
      <c r="I317" s="6" t="n"/>
      <c r="J317" s="6" t="n"/>
      <c r="K317" s="6" t="n"/>
    </row>
    <row r="318">
      <c r="B318" s="2">
        <f>IF(A318="","",IFERROR(INDEX('판매구성'!$B$2:$B$501,MATCH(A318,'판매구성'!$A$2:$A$501,0)),""))</f>
        <v/>
      </c>
      <c r="C318" s="4">
        <f>IF(A318="","",IFERROR(INDEX('판매구성'!$D$2:$D$501,MATCH(A318,'판매구성'!$A$2:$A$501,0)),""))</f>
        <v/>
      </c>
      <c r="D318" s="6" t="n"/>
      <c r="E318" s="6" t="n"/>
      <c r="F318" s="6" t="n"/>
      <c r="G318" s="6" t="n"/>
      <c r="H318" s="6" t="n"/>
      <c r="I318" s="6" t="n"/>
      <c r="J318" s="6" t="n"/>
      <c r="K318" s="6" t="n"/>
    </row>
    <row r="319">
      <c r="B319" s="2">
        <f>IF(A319="","",IFERROR(INDEX('판매구성'!$B$2:$B$501,MATCH(A319,'판매구성'!$A$2:$A$501,0)),""))</f>
        <v/>
      </c>
      <c r="C319" s="4">
        <f>IF(A319="","",IFERROR(INDEX('판매구성'!$D$2:$D$501,MATCH(A319,'판매구성'!$A$2:$A$501,0)),""))</f>
        <v/>
      </c>
      <c r="D319" s="6" t="n"/>
      <c r="E319" s="6" t="n"/>
      <c r="F319" s="6" t="n"/>
      <c r="G319" s="6" t="n"/>
      <c r="H319" s="6" t="n"/>
      <c r="I319" s="6" t="n"/>
      <c r="J319" s="6" t="n"/>
      <c r="K319" s="6" t="n"/>
    </row>
    <row r="320">
      <c r="B320" s="2">
        <f>IF(A320="","",IFERROR(INDEX('판매구성'!$B$2:$B$501,MATCH(A320,'판매구성'!$A$2:$A$501,0)),""))</f>
        <v/>
      </c>
      <c r="C320" s="4">
        <f>IF(A320="","",IFERROR(INDEX('판매구성'!$D$2:$D$501,MATCH(A320,'판매구성'!$A$2:$A$501,0)),""))</f>
        <v/>
      </c>
      <c r="D320" s="6" t="n"/>
      <c r="E320" s="6" t="n"/>
      <c r="F320" s="6" t="n"/>
      <c r="G320" s="6" t="n"/>
      <c r="H320" s="6" t="n"/>
      <c r="I320" s="6" t="n"/>
      <c r="J320" s="6" t="n"/>
      <c r="K320" s="6" t="n"/>
    </row>
    <row r="321">
      <c r="B321" s="2">
        <f>IF(A321="","",IFERROR(INDEX('판매구성'!$B$2:$B$501,MATCH(A321,'판매구성'!$A$2:$A$501,0)),""))</f>
        <v/>
      </c>
      <c r="C321" s="4">
        <f>IF(A321="","",IFERROR(INDEX('판매구성'!$D$2:$D$501,MATCH(A321,'판매구성'!$A$2:$A$501,0)),""))</f>
        <v/>
      </c>
      <c r="D321" s="6" t="n"/>
      <c r="E321" s="6" t="n"/>
      <c r="F321" s="6" t="n"/>
      <c r="G321" s="6" t="n"/>
      <c r="H321" s="6" t="n"/>
      <c r="I321" s="6" t="n"/>
      <c r="J321" s="6" t="n"/>
      <c r="K321" s="6" t="n"/>
    </row>
    <row r="322">
      <c r="B322" s="2">
        <f>IF(A322="","",IFERROR(INDEX('판매구성'!$B$2:$B$501,MATCH(A322,'판매구성'!$A$2:$A$501,0)),""))</f>
        <v/>
      </c>
      <c r="C322" s="4">
        <f>IF(A322="","",IFERROR(INDEX('판매구성'!$D$2:$D$501,MATCH(A322,'판매구성'!$A$2:$A$501,0)),""))</f>
        <v/>
      </c>
      <c r="D322" s="6" t="n"/>
      <c r="E322" s="6" t="n"/>
      <c r="F322" s="6" t="n"/>
      <c r="G322" s="6" t="n"/>
      <c r="H322" s="6" t="n"/>
      <c r="I322" s="6" t="n"/>
      <c r="J322" s="6" t="n"/>
      <c r="K322" s="6" t="n"/>
    </row>
    <row r="323">
      <c r="B323" s="2">
        <f>IF(A323="","",IFERROR(INDEX('판매구성'!$B$2:$B$501,MATCH(A323,'판매구성'!$A$2:$A$501,0)),""))</f>
        <v/>
      </c>
      <c r="C323" s="4">
        <f>IF(A323="","",IFERROR(INDEX('판매구성'!$D$2:$D$501,MATCH(A323,'판매구성'!$A$2:$A$501,0)),""))</f>
        <v/>
      </c>
      <c r="D323" s="6" t="n"/>
      <c r="E323" s="6" t="n"/>
      <c r="F323" s="6" t="n"/>
      <c r="G323" s="6" t="n"/>
      <c r="H323" s="6" t="n"/>
      <c r="I323" s="6" t="n"/>
      <c r="J323" s="6" t="n"/>
      <c r="K323" s="6" t="n"/>
    </row>
    <row r="324">
      <c r="B324" s="2">
        <f>IF(A324="","",IFERROR(INDEX('판매구성'!$B$2:$B$501,MATCH(A324,'판매구성'!$A$2:$A$501,0)),""))</f>
        <v/>
      </c>
      <c r="C324" s="4">
        <f>IF(A324="","",IFERROR(INDEX('판매구성'!$D$2:$D$501,MATCH(A324,'판매구성'!$A$2:$A$501,0)),""))</f>
        <v/>
      </c>
      <c r="D324" s="6" t="n"/>
      <c r="E324" s="6" t="n"/>
      <c r="F324" s="6" t="n"/>
      <c r="G324" s="6" t="n"/>
      <c r="H324" s="6" t="n"/>
      <c r="I324" s="6" t="n"/>
      <c r="J324" s="6" t="n"/>
      <c r="K324" s="6" t="n"/>
    </row>
    <row r="325">
      <c r="B325" s="2">
        <f>IF(A325="","",IFERROR(INDEX('판매구성'!$B$2:$B$501,MATCH(A325,'판매구성'!$A$2:$A$501,0)),""))</f>
        <v/>
      </c>
      <c r="C325" s="4">
        <f>IF(A325="","",IFERROR(INDEX('판매구성'!$D$2:$D$501,MATCH(A325,'판매구성'!$A$2:$A$501,0)),""))</f>
        <v/>
      </c>
      <c r="D325" s="6" t="n"/>
      <c r="E325" s="6" t="n"/>
      <c r="F325" s="6" t="n"/>
      <c r="G325" s="6" t="n"/>
      <c r="H325" s="6" t="n"/>
      <c r="I325" s="6" t="n"/>
      <c r="J325" s="6" t="n"/>
      <c r="K325" s="6" t="n"/>
    </row>
    <row r="326">
      <c r="B326" s="2">
        <f>IF(A326="","",IFERROR(INDEX('판매구성'!$B$2:$B$501,MATCH(A326,'판매구성'!$A$2:$A$501,0)),""))</f>
        <v/>
      </c>
      <c r="C326" s="4">
        <f>IF(A326="","",IFERROR(INDEX('판매구성'!$D$2:$D$501,MATCH(A326,'판매구성'!$A$2:$A$501,0)),""))</f>
        <v/>
      </c>
      <c r="D326" s="6" t="n"/>
      <c r="E326" s="6" t="n"/>
      <c r="F326" s="6" t="n"/>
      <c r="G326" s="6" t="n"/>
      <c r="H326" s="6" t="n"/>
      <c r="I326" s="6" t="n"/>
      <c r="J326" s="6" t="n"/>
      <c r="K326" s="6" t="n"/>
    </row>
    <row r="327">
      <c r="B327" s="2">
        <f>IF(A327="","",IFERROR(INDEX('판매구성'!$B$2:$B$501,MATCH(A327,'판매구성'!$A$2:$A$501,0)),""))</f>
        <v/>
      </c>
      <c r="C327" s="4">
        <f>IF(A327="","",IFERROR(INDEX('판매구성'!$D$2:$D$501,MATCH(A327,'판매구성'!$A$2:$A$501,0)),""))</f>
        <v/>
      </c>
      <c r="D327" s="6" t="n"/>
      <c r="E327" s="6" t="n"/>
      <c r="F327" s="6" t="n"/>
      <c r="G327" s="6" t="n"/>
      <c r="H327" s="6" t="n"/>
      <c r="I327" s="6" t="n"/>
      <c r="J327" s="6" t="n"/>
      <c r="K327" s="6" t="n"/>
    </row>
    <row r="328">
      <c r="B328" s="2">
        <f>IF(A328="","",IFERROR(INDEX('판매구성'!$B$2:$B$501,MATCH(A328,'판매구성'!$A$2:$A$501,0)),""))</f>
        <v/>
      </c>
      <c r="C328" s="4">
        <f>IF(A328="","",IFERROR(INDEX('판매구성'!$D$2:$D$501,MATCH(A328,'판매구성'!$A$2:$A$501,0)),""))</f>
        <v/>
      </c>
      <c r="D328" s="6" t="n"/>
      <c r="E328" s="6" t="n"/>
      <c r="F328" s="6" t="n"/>
      <c r="G328" s="6" t="n"/>
      <c r="H328" s="6" t="n"/>
      <c r="I328" s="6" t="n"/>
      <c r="J328" s="6" t="n"/>
      <c r="K328" s="6" t="n"/>
    </row>
    <row r="329">
      <c r="B329" s="2">
        <f>IF(A329="","",IFERROR(INDEX('판매구성'!$B$2:$B$501,MATCH(A329,'판매구성'!$A$2:$A$501,0)),""))</f>
        <v/>
      </c>
      <c r="C329" s="4">
        <f>IF(A329="","",IFERROR(INDEX('판매구성'!$D$2:$D$501,MATCH(A329,'판매구성'!$A$2:$A$501,0)),""))</f>
        <v/>
      </c>
      <c r="D329" s="6" t="n"/>
      <c r="E329" s="6" t="n"/>
      <c r="F329" s="6" t="n"/>
      <c r="G329" s="6" t="n"/>
      <c r="H329" s="6" t="n"/>
      <c r="I329" s="6" t="n"/>
      <c r="J329" s="6" t="n"/>
      <c r="K329" s="6" t="n"/>
    </row>
    <row r="330">
      <c r="B330" s="2">
        <f>IF(A330="","",IFERROR(INDEX('판매구성'!$B$2:$B$501,MATCH(A330,'판매구성'!$A$2:$A$501,0)),""))</f>
        <v/>
      </c>
      <c r="C330" s="4">
        <f>IF(A330="","",IFERROR(INDEX('판매구성'!$D$2:$D$501,MATCH(A330,'판매구성'!$A$2:$A$501,0)),""))</f>
        <v/>
      </c>
      <c r="D330" s="6" t="n"/>
      <c r="E330" s="6" t="n"/>
      <c r="F330" s="6" t="n"/>
      <c r="G330" s="6" t="n"/>
      <c r="H330" s="6" t="n"/>
      <c r="I330" s="6" t="n"/>
      <c r="J330" s="6" t="n"/>
      <c r="K330" s="6" t="n"/>
    </row>
    <row r="331">
      <c r="B331" s="2">
        <f>IF(A331="","",IFERROR(INDEX('판매구성'!$B$2:$B$501,MATCH(A331,'판매구성'!$A$2:$A$501,0)),""))</f>
        <v/>
      </c>
      <c r="C331" s="4">
        <f>IF(A331="","",IFERROR(INDEX('판매구성'!$D$2:$D$501,MATCH(A331,'판매구성'!$A$2:$A$501,0)),""))</f>
        <v/>
      </c>
      <c r="D331" s="6" t="n"/>
      <c r="E331" s="6" t="n"/>
      <c r="F331" s="6" t="n"/>
      <c r="G331" s="6" t="n"/>
      <c r="H331" s="6" t="n"/>
      <c r="I331" s="6" t="n"/>
      <c r="J331" s="6" t="n"/>
      <c r="K331" s="6" t="n"/>
    </row>
    <row r="332">
      <c r="B332" s="2">
        <f>IF(A332="","",IFERROR(INDEX('판매구성'!$B$2:$B$501,MATCH(A332,'판매구성'!$A$2:$A$501,0)),""))</f>
        <v/>
      </c>
      <c r="C332" s="4">
        <f>IF(A332="","",IFERROR(INDEX('판매구성'!$D$2:$D$501,MATCH(A332,'판매구성'!$A$2:$A$501,0)),""))</f>
        <v/>
      </c>
      <c r="D332" s="6" t="n"/>
      <c r="E332" s="6" t="n"/>
      <c r="F332" s="6" t="n"/>
      <c r="G332" s="6" t="n"/>
      <c r="H332" s="6" t="n"/>
      <c r="I332" s="6" t="n"/>
      <c r="J332" s="6" t="n"/>
      <c r="K332" s="6" t="n"/>
    </row>
    <row r="333">
      <c r="B333" s="2">
        <f>IF(A333="","",IFERROR(INDEX('판매구성'!$B$2:$B$501,MATCH(A333,'판매구성'!$A$2:$A$501,0)),""))</f>
        <v/>
      </c>
      <c r="C333" s="4">
        <f>IF(A333="","",IFERROR(INDEX('판매구성'!$D$2:$D$501,MATCH(A333,'판매구성'!$A$2:$A$501,0)),""))</f>
        <v/>
      </c>
      <c r="D333" s="6" t="n"/>
      <c r="E333" s="6" t="n"/>
      <c r="F333" s="6" t="n"/>
      <c r="G333" s="6" t="n"/>
      <c r="H333" s="6" t="n"/>
      <c r="I333" s="6" t="n"/>
      <c r="J333" s="6" t="n"/>
      <c r="K333" s="6" t="n"/>
    </row>
    <row r="334">
      <c r="B334" s="2">
        <f>IF(A334="","",IFERROR(INDEX('판매구성'!$B$2:$B$501,MATCH(A334,'판매구성'!$A$2:$A$501,0)),""))</f>
        <v/>
      </c>
      <c r="C334" s="4">
        <f>IF(A334="","",IFERROR(INDEX('판매구성'!$D$2:$D$501,MATCH(A334,'판매구성'!$A$2:$A$501,0)),""))</f>
        <v/>
      </c>
      <c r="D334" s="6" t="n"/>
      <c r="E334" s="6" t="n"/>
      <c r="F334" s="6" t="n"/>
      <c r="G334" s="6" t="n"/>
      <c r="H334" s="6" t="n"/>
      <c r="I334" s="6" t="n"/>
      <c r="J334" s="6" t="n"/>
      <c r="K334" s="6" t="n"/>
    </row>
    <row r="335">
      <c r="B335" s="2">
        <f>IF(A335="","",IFERROR(INDEX('판매구성'!$B$2:$B$501,MATCH(A335,'판매구성'!$A$2:$A$501,0)),""))</f>
        <v/>
      </c>
      <c r="C335" s="4">
        <f>IF(A335="","",IFERROR(INDEX('판매구성'!$D$2:$D$501,MATCH(A335,'판매구성'!$A$2:$A$501,0)),""))</f>
        <v/>
      </c>
      <c r="D335" s="6" t="n"/>
      <c r="E335" s="6" t="n"/>
      <c r="F335" s="6" t="n"/>
      <c r="G335" s="6" t="n"/>
      <c r="H335" s="6" t="n"/>
      <c r="I335" s="6" t="n"/>
      <c r="J335" s="6" t="n"/>
      <c r="K335" s="6" t="n"/>
    </row>
    <row r="336">
      <c r="B336" s="2">
        <f>IF(A336="","",IFERROR(INDEX('판매구성'!$B$2:$B$501,MATCH(A336,'판매구성'!$A$2:$A$501,0)),""))</f>
        <v/>
      </c>
      <c r="C336" s="4">
        <f>IF(A336="","",IFERROR(INDEX('판매구성'!$D$2:$D$501,MATCH(A336,'판매구성'!$A$2:$A$501,0)),""))</f>
        <v/>
      </c>
      <c r="D336" s="6" t="n"/>
      <c r="E336" s="6" t="n"/>
      <c r="F336" s="6" t="n"/>
      <c r="G336" s="6" t="n"/>
      <c r="H336" s="6" t="n"/>
      <c r="I336" s="6" t="n"/>
      <c r="J336" s="6" t="n"/>
      <c r="K336" s="6" t="n"/>
    </row>
    <row r="337">
      <c r="B337" s="2">
        <f>IF(A337="","",IFERROR(INDEX('판매구성'!$B$2:$B$501,MATCH(A337,'판매구성'!$A$2:$A$501,0)),""))</f>
        <v/>
      </c>
      <c r="C337" s="4">
        <f>IF(A337="","",IFERROR(INDEX('판매구성'!$D$2:$D$501,MATCH(A337,'판매구성'!$A$2:$A$501,0)),""))</f>
        <v/>
      </c>
      <c r="D337" s="6" t="n"/>
      <c r="E337" s="6" t="n"/>
      <c r="F337" s="6" t="n"/>
      <c r="G337" s="6" t="n"/>
      <c r="H337" s="6" t="n"/>
      <c r="I337" s="6" t="n"/>
      <c r="J337" s="6" t="n"/>
      <c r="K337" s="6" t="n"/>
    </row>
    <row r="338">
      <c r="B338" s="2">
        <f>IF(A338="","",IFERROR(INDEX('판매구성'!$B$2:$B$501,MATCH(A338,'판매구성'!$A$2:$A$501,0)),""))</f>
        <v/>
      </c>
      <c r="C338" s="4">
        <f>IF(A338="","",IFERROR(INDEX('판매구성'!$D$2:$D$501,MATCH(A338,'판매구성'!$A$2:$A$501,0)),""))</f>
        <v/>
      </c>
      <c r="D338" s="6" t="n"/>
      <c r="E338" s="6" t="n"/>
      <c r="F338" s="6" t="n"/>
      <c r="G338" s="6" t="n"/>
      <c r="H338" s="6" t="n"/>
      <c r="I338" s="6" t="n"/>
      <c r="J338" s="6" t="n"/>
      <c r="K338" s="6" t="n"/>
    </row>
    <row r="339">
      <c r="B339" s="2">
        <f>IF(A339="","",IFERROR(INDEX('판매구성'!$B$2:$B$501,MATCH(A339,'판매구성'!$A$2:$A$501,0)),""))</f>
        <v/>
      </c>
      <c r="C339" s="4">
        <f>IF(A339="","",IFERROR(INDEX('판매구성'!$D$2:$D$501,MATCH(A339,'판매구성'!$A$2:$A$501,0)),""))</f>
        <v/>
      </c>
      <c r="D339" s="6" t="n"/>
      <c r="E339" s="6" t="n"/>
      <c r="F339" s="6" t="n"/>
      <c r="G339" s="6" t="n"/>
      <c r="H339" s="6" t="n"/>
      <c r="I339" s="6" t="n"/>
      <c r="J339" s="6" t="n"/>
      <c r="K339" s="6" t="n"/>
    </row>
    <row r="340">
      <c r="B340" s="2">
        <f>IF(A340="","",IFERROR(INDEX('판매구성'!$B$2:$B$501,MATCH(A340,'판매구성'!$A$2:$A$501,0)),""))</f>
        <v/>
      </c>
      <c r="C340" s="4">
        <f>IF(A340="","",IFERROR(INDEX('판매구성'!$D$2:$D$501,MATCH(A340,'판매구성'!$A$2:$A$501,0)),""))</f>
        <v/>
      </c>
      <c r="D340" s="6" t="n"/>
      <c r="E340" s="6" t="n"/>
      <c r="F340" s="6" t="n"/>
      <c r="G340" s="6" t="n"/>
      <c r="H340" s="6" t="n"/>
      <c r="I340" s="6" t="n"/>
      <c r="J340" s="6" t="n"/>
      <c r="K340" s="6" t="n"/>
    </row>
    <row r="341">
      <c r="B341" s="2">
        <f>IF(A341="","",IFERROR(INDEX('판매구성'!$B$2:$B$501,MATCH(A341,'판매구성'!$A$2:$A$501,0)),""))</f>
        <v/>
      </c>
      <c r="C341" s="4">
        <f>IF(A341="","",IFERROR(INDEX('판매구성'!$D$2:$D$501,MATCH(A341,'판매구성'!$A$2:$A$501,0)),""))</f>
        <v/>
      </c>
      <c r="D341" s="6" t="n"/>
      <c r="E341" s="6" t="n"/>
      <c r="F341" s="6" t="n"/>
      <c r="G341" s="6" t="n"/>
      <c r="H341" s="6" t="n"/>
      <c r="I341" s="6" t="n"/>
      <c r="J341" s="6" t="n"/>
      <c r="K341" s="6" t="n"/>
    </row>
    <row r="342">
      <c r="B342" s="2">
        <f>IF(A342="","",IFERROR(INDEX('판매구성'!$B$2:$B$501,MATCH(A342,'판매구성'!$A$2:$A$501,0)),""))</f>
        <v/>
      </c>
      <c r="C342" s="4">
        <f>IF(A342="","",IFERROR(INDEX('판매구성'!$D$2:$D$501,MATCH(A342,'판매구성'!$A$2:$A$501,0)),""))</f>
        <v/>
      </c>
      <c r="D342" s="6" t="n"/>
      <c r="E342" s="6" t="n"/>
      <c r="F342" s="6" t="n"/>
      <c r="G342" s="6" t="n"/>
      <c r="H342" s="6" t="n"/>
      <c r="I342" s="6" t="n"/>
      <c r="J342" s="6" t="n"/>
      <c r="K342" s="6" t="n"/>
    </row>
    <row r="343">
      <c r="B343" s="2">
        <f>IF(A343="","",IFERROR(INDEX('판매구성'!$B$2:$B$501,MATCH(A343,'판매구성'!$A$2:$A$501,0)),""))</f>
        <v/>
      </c>
      <c r="C343" s="4">
        <f>IF(A343="","",IFERROR(INDEX('판매구성'!$D$2:$D$501,MATCH(A343,'판매구성'!$A$2:$A$501,0)),""))</f>
        <v/>
      </c>
      <c r="D343" s="6" t="n"/>
      <c r="E343" s="6" t="n"/>
      <c r="F343" s="6" t="n"/>
      <c r="G343" s="6" t="n"/>
      <c r="H343" s="6" t="n"/>
      <c r="I343" s="6" t="n"/>
      <c r="J343" s="6" t="n"/>
      <c r="K343" s="6" t="n"/>
    </row>
    <row r="344">
      <c r="B344" s="2">
        <f>IF(A344="","",IFERROR(INDEX('판매구성'!$B$2:$B$501,MATCH(A344,'판매구성'!$A$2:$A$501,0)),""))</f>
        <v/>
      </c>
      <c r="C344" s="4">
        <f>IF(A344="","",IFERROR(INDEX('판매구성'!$D$2:$D$501,MATCH(A344,'판매구성'!$A$2:$A$501,0)),""))</f>
        <v/>
      </c>
      <c r="D344" s="6" t="n"/>
      <c r="E344" s="6" t="n"/>
      <c r="F344" s="6" t="n"/>
      <c r="G344" s="6" t="n"/>
      <c r="H344" s="6" t="n"/>
      <c r="I344" s="6" t="n"/>
      <c r="J344" s="6" t="n"/>
      <c r="K344" s="6" t="n"/>
    </row>
    <row r="345">
      <c r="B345" s="2">
        <f>IF(A345="","",IFERROR(INDEX('판매구성'!$B$2:$B$501,MATCH(A345,'판매구성'!$A$2:$A$501,0)),""))</f>
        <v/>
      </c>
      <c r="C345" s="4">
        <f>IF(A345="","",IFERROR(INDEX('판매구성'!$D$2:$D$501,MATCH(A345,'판매구성'!$A$2:$A$501,0)),""))</f>
        <v/>
      </c>
      <c r="D345" s="6" t="n"/>
      <c r="E345" s="6" t="n"/>
      <c r="F345" s="6" t="n"/>
      <c r="G345" s="6" t="n"/>
      <c r="H345" s="6" t="n"/>
      <c r="I345" s="6" t="n"/>
      <c r="J345" s="6" t="n"/>
      <c r="K345" s="6" t="n"/>
    </row>
    <row r="346">
      <c r="B346" s="2">
        <f>IF(A346="","",IFERROR(INDEX('판매구성'!$B$2:$B$501,MATCH(A346,'판매구성'!$A$2:$A$501,0)),""))</f>
        <v/>
      </c>
      <c r="C346" s="4">
        <f>IF(A346="","",IFERROR(INDEX('판매구성'!$D$2:$D$501,MATCH(A346,'판매구성'!$A$2:$A$501,0)),""))</f>
        <v/>
      </c>
      <c r="D346" s="6" t="n"/>
      <c r="E346" s="6" t="n"/>
      <c r="F346" s="6" t="n"/>
      <c r="G346" s="6" t="n"/>
      <c r="H346" s="6" t="n"/>
      <c r="I346" s="6" t="n"/>
      <c r="J346" s="6" t="n"/>
      <c r="K346" s="6" t="n"/>
    </row>
    <row r="347">
      <c r="B347" s="2">
        <f>IF(A347="","",IFERROR(INDEX('판매구성'!$B$2:$B$501,MATCH(A347,'판매구성'!$A$2:$A$501,0)),""))</f>
        <v/>
      </c>
      <c r="C347" s="4">
        <f>IF(A347="","",IFERROR(INDEX('판매구성'!$D$2:$D$501,MATCH(A347,'판매구성'!$A$2:$A$501,0)),""))</f>
        <v/>
      </c>
      <c r="D347" s="6" t="n"/>
      <c r="E347" s="6" t="n"/>
      <c r="F347" s="6" t="n"/>
      <c r="G347" s="6" t="n"/>
      <c r="H347" s="6" t="n"/>
      <c r="I347" s="6" t="n"/>
      <c r="J347" s="6" t="n"/>
      <c r="K347" s="6" t="n"/>
    </row>
    <row r="348">
      <c r="B348" s="2">
        <f>IF(A348="","",IFERROR(INDEX('판매구성'!$B$2:$B$501,MATCH(A348,'판매구성'!$A$2:$A$501,0)),""))</f>
        <v/>
      </c>
      <c r="C348" s="4">
        <f>IF(A348="","",IFERROR(INDEX('판매구성'!$D$2:$D$501,MATCH(A348,'판매구성'!$A$2:$A$501,0)),""))</f>
        <v/>
      </c>
      <c r="D348" s="6" t="n"/>
      <c r="E348" s="6" t="n"/>
      <c r="F348" s="6" t="n"/>
      <c r="G348" s="6" t="n"/>
      <c r="H348" s="6" t="n"/>
      <c r="I348" s="6" t="n"/>
      <c r="J348" s="6" t="n"/>
      <c r="K348" s="6" t="n"/>
    </row>
    <row r="349">
      <c r="B349" s="2">
        <f>IF(A349="","",IFERROR(INDEX('판매구성'!$B$2:$B$501,MATCH(A349,'판매구성'!$A$2:$A$501,0)),""))</f>
        <v/>
      </c>
      <c r="C349" s="4">
        <f>IF(A349="","",IFERROR(INDEX('판매구성'!$D$2:$D$501,MATCH(A349,'판매구성'!$A$2:$A$501,0)),""))</f>
        <v/>
      </c>
      <c r="D349" s="6" t="n"/>
      <c r="E349" s="6" t="n"/>
      <c r="F349" s="6" t="n"/>
      <c r="G349" s="6" t="n"/>
      <c r="H349" s="6" t="n"/>
      <c r="I349" s="6" t="n"/>
      <c r="J349" s="6" t="n"/>
      <c r="K349" s="6" t="n"/>
    </row>
    <row r="350">
      <c r="B350" s="2">
        <f>IF(A350="","",IFERROR(INDEX('판매구성'!$B$2:$B$501,MATCH(A350,'판매구성'!$A$2:$A$501,0)),""))</f>
        <v/>
      </c>
      <c r="C350" s="4">
        <f>IF(A350="","",IFERROR(INDEX('판매구성'!$D$2:$D$501,MATCH(A350,'판매구성'!$A$2:$A$501,0)),""))</f>
        <v/>
      </c>
      <c r="D350" s="6" t="n"/>
      <c r="E350" s="6" t="n"/>
      <c r="F350" s="6" t="n"/>
      <c r="G350" s="6" t="n"/>
      <c r="H350" s="6" t="n"/>
      <c r="I350" s="6" t="n"/>
      <c r="J350" s="6" t="n"/>
      <c r="K350" s="6" t="n"/>
    </row>
    <row r="351">
      <c r="B351" s="2">
        <f>IF(A351="","",IFERROR(INDEX('판매구성'!$B$2:$B$501,MATCH(A351,'판매구성'!$A$2:$A$501,0)),""))</f>
        <v/>
      </c>
      <c r="C351" s="4">
        <f>IF(A351="","",IFERROR(INDEX('판매구성'!$D$2:$D$501,MATCH(A351,'판매구성'!$A$2:$A$501,0)),""))</f>
        <v/>
      </c>
      <c r="D351" s="6" t="n"/>
      <c r="E351" s="6" t="n"/>
      <c r="F351" s="6" t="n"/>
      <c r="G351" s="6" t="n"/>
      <c r="H351" s="6" t="n"/>
      <c r="I351" s="6" t="n"/>
      <c r="J351" s="6" t="n"/>
      <c r="K351" s="6" t="n"/>
    </row>
    <row r="352">
      <c r="B352" s="2">
        <f>IF(A352="","",IFERROR(INDEX('판매구성'!$B$2:$B$501,MATCH(A352,'판매구성'!$A$2:$A$501,0)),""))</f>
        <v/>
      </c>
      <c r="C352" s="4">
        <f>IF(A352="","",IFERROR(INDEX('판매구성'!$D$2:$D$501,MATCH(A352,'판매구성'!$A$2:$A$501,0)),""))</f>
        <v/>
      </c>
      <c r="D352" s="6" t="n"/>
      <c r="E352" s="6" t="n"/>
      <c r="F352" s="6" t="n"/>
      <c r="G352" s="6" t="n"/>
      <c r="H352" s="6" t="n"/>
      <c r="I352" s="6" t="n"/>
      <c r="J352" s="6" t="n"/>
      <c r="K352" s="6" t="n"/>
    </row>
    <row r="353">
      <c r="B353" s="2">
        <f>IF(A353="","",IFERROR(INDEX('판매구성'!$B$2:$B$501,MATCH(A353,'판매구성'!$A$2:$A$501,0)),""))</f>
        <v/>
      </c>
      <c r="C353" s="4">
        <f>IF(A353="","",IFERROR(INDEX('판매구성'!$D$2:$D$501,MATCH(A353,'판매구성'!$A$2:$A$501,0)),""))</f>
        <v/>
      </c>
      <c r="D353" s="6" t="n"/>
      <c r="E353" s="6" t="n"/>
      <c r="F353" s="6" t="n"/>
      <c r="G353" s="6" t="n"/>
      <c r="H353" s="6" t="n"/>
      <c r="I353" s="6" t="n"/>
      <c r="J353" s="6" t="n"/>
      <c r="K353" s="6" t="n"/>
    </row>
    <row r="354">
      <c r="B354" s="2">
        <f>IF(A354="","",IFERROR(INDEX('판매구성'!$B$2:$B$501,MATCH(A354,'판매구성'!$A$2:$A$501,0)),""))</f>
        <v/>
      </c>
      <c r="C354" s="4">
        <f>IF(A354="","",IFERROR(INDEX('판매구성'!$D$2:$D$501,MATCH(A354,'판매구성'!$A$2:$A$501,0)),""))</f>
        <v/>
      </c>
      <c r="D354" s="6" t="n"/>
      <c r="E354" s="6" t="n"/>
      <c r="F354" s="6" t="n"/>
      <c r="G354" s="6" t="n"/>
      <c r="H354" s="6" t="n"/>
      <c r="I354" s="6" t="n"/>
      <c r="J354" s="6" t="n"/>
      <c r="K354" s="6" t="n"/>
    </row>
    <row r="355">
      <c r="B355" s="2">
        <f>IF(A355="","",IFERROR(INDEX('판매구성'!$B$2:$B$501,MATCH(A355,'판매구성'!$A$2:$A$501,0)),""))</f>
        <v/>
      </c>
      <c r="C355" s="4">
        <f>IF(A355="","",IFERROR(INDEX('판매구성'!$D$2:$D$501,MATCH(A355,'판매구성'!$A$2:$A$501,0)),""))</f>
        <v/>
      </c>
      <c r="D355" s="6" t="n"/>
      <c r="E355" s="6" t="n"/>
      <c r="F355" s="6" t="n"/>
      <c r="G355" s="6" t="n"/>
      <c r="H355" s="6" t="n"/>
      <c r="I355" s="6" t="n"/>
      <c r="J355" s="6" t="n"/>
      <c r="K355" s="6" t="n"/>
    </row>
    <row r="356">
      <c r="B356" s="2">
        <f>IF(A356="","",IFERROR(INDEX('판매구성'!$B$2:$B$501,MATCH(A356,'판매구성'!$A$2:$A$501,0)),""))</f>
        <v/>
      </c>
      <c r="C356" s="4">
        <f>IF(A356="","",IFERROR(INDEX('판매구성'!$D$2:$D$501,MATCH(A356,'판매구성'!$A$2:$A$501,0)),""))</f>
        <v/>
      </c>
      <c r="D356" s="6" t="n"/>
      <c r="E356" s="6" t="n"/>
      <c r="F356" s="6" t="n"/>
      <c r="G356" s="6" t="n"/>
      <c r="H356" s="6" t="n"/>
      <c r="I356" s="6" t="n"/>
      <c r="J356" s="6" t="n"/>
      <c r="K356" s="6" t="n"/>
    </row>
    <row r="357">
      <c r="B357" s="2">
        <f>IF(A357="","",IFERROR(INDEX('판매구성'!$B$2:$B$501,MATCH(A357,'판매구성'!$A$2:$A$501,0)),""))</f>
        <v/>
      </c>
      <c r="C357" s="4">
        <f>IF(A357="","",IFERROR(INDEX('판매구성'!$D$2:$D$501,MATCH(A357,'판매구성'!$A$2:$A$501,0)),""))</f>
        <v/>
      </c>
      <c r="D357" s="6" t="n"/>
      <c r="E357" s="6" t="n"/>
      <c r="F357" s="6" t="n"/>
      <c r="G357" s="6" t="n"/>
      <c r="H357" s="6" t="n"/>
      <c r="I357" s="6" t="n"/>
      <c r="J357" s="6" t="n"/>
      <c r="K357" s="6" t="n"/>
    </row>
    <row r="358">
      <c r="B358" s="2">
        <f>IF(A358="","",IFERROR(INDEX('판매구성'!$B$2:$B$501,MATCH(A358,'판매구성'!$A$2:$A$501,0)),""))</f>
        <v/>
      </c>
      <c r="C358" s="4">
        <f>IF(A358="","",IFERROR(INDEX('판매구성'!$D$2:$D$501,MATCH(A358,'판매구성'!$A$2:$A$501,0)),""))</f>
        <v/>
      </c>
      <c r="D358" s="6" t="n"/>
      <c r="E358" s="6" t="n"/>
      <c r="F358" s="6" t="n"/>
      <c r="G358" s="6" t="n"/>
      <c r="H358" s="6" t="n"/>
      <c r="I358" s="6" t="n"/>
      <c r="J358" s="6" t="n"/>
      <c r="K358" s="6" t="n"/>
    </row>
    <row r="359">
      <c r="B359" s="2">
        <f>IF(A359="","",IFERROR(INDEX('판매구성'!$B$2:$B$501,MATCH(A359,'판매구성'!$A$2:$A$501,0)),""))</f>
        <v/>
      </c>
      <c r="C359" s="4">
        <f>IF(A359="","",IFERROR(INDEX('판매구성'!$D$2:$D$501,MATCH(A359,'판매구성'!$A$2:$A$501,0)),""))</f>
        <v/>
      </c>
      <c r="D359" s="6" t="n"/>
      <c r="E359" s="6" t="n"/>
      <c r="F359" s="6" t="n"/>
      <c r="G359" s="6" t="n"/>
      <c r="H359" s="6" t="n"/>
      <c r="I359" s="6" t="n"/>
      <c r="J359" s="6" t="n"/>
      <c r="K359" s="6" t="n"/>
    </row>
    <row r="360">
      <c r="B360" s="2">
        <f>IF(A360="","",IFERROR(INDEX('판매구성'!$B$2:$B$501,MATCH(A360,'판매구성'!$A$2:$A$501,0)),""))</f>
        <v/>
      </c>
      <c r="C360" s="4">
        <f>IF(A360="","",IFERROR(INDEX('판매구성'!$D$2:$D$501,MATCH(A360,'판매구성'!$A$2:$A$501,0)),""))</f>
        <v/>
      </c>
      <c r="D360" s="6" t="n"/>
      <c r="E360" s="6" t="n"/>
      <c r="F360" s="6" t="n"/>
      <c r="G360" s="6" t="n"/>
      <c r="H360" s="6" t="n"/>
      <c r="I360" s="6" t="n"/>
      <c r="J360" s="6" t="n"/>
      <c r="K360" s="6" t="n"/>
    </row>
    <row r="361">
      <c r="B361" s="2">
        <f>IF(A361="","",IFERROR(INDEX('판매구성'!$B$2:$B$501,MATCH(A361,'판매구성'!$A$2:$A$501,0)),""))</f>
        <v/>
      </c>
      <c r="C361" s="4">
        <f>IF(A361="","",IFERROR(INDEX('판매구성'!$D$2:$D$501,MATCH(A361,'판매구성'!$A$2:$A$501,0)),""))</f>
        <v/>
      </c>
      <c r="D361" s="6" t="n"/>
      <c r="E361" s="6" t="n"/>
      <c r="F361" s="6" t="n"/>
      <c r="G361" s="6" t="n"/>
      <c r="H361" s="6" t="n"/>
      <c r="I361" s="6" t="n"/>
      <c r="J361" s="6" t="n"/>
      <c r="K361" s="6" t="n"/>
    </row>
    <row r="362">
      <c r="B362" s="2">
        <f>IF(A362="","",IFERROR(INDEX('판매구성'!$B$2:$B$501,MATCH(A362,'판매구성'!$A$2:$A$501,0)),""))</f>
        <v/>
      </c>
      <c r="C362" s="4">
        <f>IF(A362="","",IFERROR(INDEX('판매구성'!$D$2:$D$501,MATCH(A362,'판매구성'!$A$2:$A$501,0)),""))</f>
        <v/>
      </c>
      <c r="D362" s="6" t="n"/>
      <c r="E362" s="6" t="n"/>
      <c r="F362" s="6" t="n"/>
      <c r="G362" s="6" t="n"/>
      <c r="H362" s="6" t="n"/>
      <c r="I362" s="6" t="n"/>
      <c r="J362" s="6" t="n"/>
      <c r="K362" s="6" t="n"/>
    </row>
    <row r="363">
      <c r="B363" s="2">
        <f>IF(A363="","",IFERROR(INDEX('판매구성'!$B$2:$B$501,MATCH(A363,'판매구성'!$A$2:$A$501,0)),""))</f>
        <v/>
      </c>
      <c r="C363" s="4">
        <f>IF(A363="","",IFERROR(INDEX('판매구성'!$D$2:$D$501,MATCH(A363,'판매구성'!$A$2:$A$501,0)),""))</f>
        <v/>
      </c>
      <c r="D363" s="6" t="n"/>
      <c r="E363" s="6" t="n"/>
      <c r="F363" s="6" t="n"/>
      <c r="G363" s="6" t="n"/>
      <c r="H363" s="6" t="n"/>
      <c r="I363" s="6" t="n"/>
      <c r="J363" s="6" t="n"/>
      <c r="K363" s="6" t="n"/>
    </row>
    <row r="364">
      <c r="B364" s="2">
        <f>IF(A364="","",IFERROR(INDEX('판매구성'!$B$2:$B$501,MATCH(A364,'판매구성'!$A$2:$A$501,0)),""))</f>
        <v/>
      </c>
      <c r="C364" s="4">
        <f>IF(A364="","",IFERROR(INDEX('판매구성'!$D$2:$D$501,MATCH(A364,'판매구성'!$A$2:$A$501,0)),""))</f>
        <v/>
      </c>
      <c r="D364" s="6" t="n"/>
      <c r="E364" s="6" t="n"/>
      <c r="F364" s="6" t="n"/>
      <c r="G364" s="6" t="n"/>
      <c r="H364" s="6" t="n"/>
      <c r="I364" s="6" t="n"/>
      <c r="J364" s="6" t="n"/>
      <c r="K364" s="6" t="n"/>
    </row>
    <row r="365">
      <c r="B365" s="2">
        <f>IF(A365="","",IFERROR(INDEX('판매구성'!$B$2:$B$501,MATCH(A365,'판매구성'!$A$2:$A$501,0)),""))</f>
        <v/>
      </c>
      <c r="C365" s="4">
        <f>IF(A365="","",IFERROR(INDEX('판매구성'!$D$2:$D$501,MATCH(A365,'판매구성'!$A$2:$A$501,0)),""))</f>
        <v/>
      </c>
      <c r="D365" s="6" t="n"/>
      <c r="E365" s="6" t="n"/>
      <c r="F365" s="6" t="n"/>
      <c r="G365" s="6" t="n"/>
      <c r="H365" s="6" t="n"/>
      <c r="I365" s="6" t="n"/>
      <c r="J365" s="6" t="n"/>
      <c r="K365" s="6" t="n"/>
    </row>
    <row r="366">
      <c r="B366" s="2">
        <f>IF(A366="","",IFERROR(INDEX('판매구성'!$B$2:$B$501,MATCH(A366,'판매구성'!$A$2:$A$501,0)),""))</f>
        <v/>
      </c>
      <c r="C366" s="4">
        <f>IF(A366="","",IFERROR(INDEX('판매구성'!$D$2:$D$501,MATCH(A366,'판매구성'!$A$2:$A$501,0)),""))</f>
        <v/>
      </c>
      <c r="D366" s="6" t="n"/>
      <c r="E366" s="6" t="n"/>
      <c r="F366" s="6" t="n"/>
      <c r="G366" s="6" t="n"/>
      <c r="H366" s="6" t="n"/>
      <c r="I366" s="6" t="n"/>
      <c r="J366" s="6" t="n"/>
      <c r="K366" s="6" t="n"/>
    </row>
    <row r="367">
      <c r="B367" s="2">
        <f>IF(A367="","",IFERROR(INDEX('판매구성'!$B$2:$B$501,MATCH(A367,'판매구성'!$A$2:$A$501,0)),""))</f>
        <v/>
      </c>
      <c r="C367" s="4">
        <f>IF(A367="","",IFERROR(INDEX('판매구성'!$D$2:$D$501,MATCH(A367,'판매구성'!$A$2:$A$501,0)),""))</f>
        <v/>
      </c>
      <c r="D367" s="6" t="n"/>
      <c r="E367" s="6" t="n"/>
      <c r="F367" s="6" t="n"/>
      <c r="G367" s="6" t="n"/>
      <c r="H367" s="6" t="n"/>
      <c r="I367" s="6" t="n"/>
      <c r="J367" s="6" t="n"/>
      <c r="K367" s="6" t="n"/>
    </row>
    <row r="368">
      <c r="B368" s="2">
        <f>IF(A368="","",IFERROR(INDEX('판매구성'!$B$2:$B$501,MATCH(A368,'판매구성'!$A$2:$A$501,0)),""))</f>
        <v/>
      </c>
      <c r="C368" s="4">
        <f>IF(A368="","",IFERROR(INDEX('판매구성'!$D$2:$D$501,MATCH(A368,'판매구성'!$A$2:$A$501,0)),""))</f>
        <v/>
      </c>
      <c r="D368" s="6" t="n"/>
      <c r="E368" s="6" t="n"/>
      <c r="F368" s="6" t="n"/>
      <c r="G368" s="6" t="n"/>
      <c r="H368" s="6" t="n"/>
      <c r="I368" s="6" t="n"/>
      <c r="J368" s="6" t="n"/>
      <c r="K368" s="6" t="n"/>
    </row>
    <row r="369">
      <c r="B369" s="2">
        <f>IF(A369="","",IFERROR(INDEX('판매구성'!$B$2:$B$501,MATCH(A369,'판매구성'!$A$2:$A$501,0)),""))</f>
        <v/>
      </c>
      <c r="C369" s="4">
        <f>IF(A369="","",IFERROR(INDEX('판매구성'!$D$2:$D$501,MATCH(A369,'판매구성'!$A$2:$A$501,0)),""))</f>
        <v/>
      </c>
      <c r="D369" s="6" t="n"/>
      <c r="E369" s="6" t="n"/>
      <c r="F369" s="6" t="n"/>
      <c r="G369" s="6" t="n"/>
      <c r="H369" s="6" t="n"/>
      <c r="I369" s="6" t="n"/>
      <c r="J369" s="6" t="n"/>
      <c r="K369" s="6" t="n"/>
    </row>
    <row r="370">
      <c r="B370" s="2">
        <f>IF(A370="","",IFERROR(INDEX('판매구성'!$B$2:$B$501,MATCH(A370,'판매구성'!$A$2:$A$501,0)),""))</f>
        <v/>
      </c>
      <c r="C370" s="4">
        <f>IF(A370="","",IFERROR(INDEX('판매구성'!$D$2:$D$501,MATCH(A370,'판매구성'!$A$2:$A$501,0)),""))</f>
        <v/>
      </c>
      <c r="D370" s="6" t="n"/>
      <c r="E370" s="6" t="n"/>
      <c r="F370" s="6" t="n"/>
      <c r="G370" s="6" t="n"/>
      <c r="H370" s="6" t="n"/>
      <c r="I370" s="6" t="n"/>
      <c r="J370" s="6" t="n"/>
      <c r="K370" s="6" t="n"/>
    </row>
    <row r="371">
      <c r="B371" s="2">
        <f>IF(A371="","",IFERROR(INDEX('판매구성'!$B$2:$B$501,MATCH(A371,'판매구성'!$A$2:$A$501,0)),""))</f>
        <v/>
      </c>
      <c r="C371" s="4">
        <f>IF(A371="","",IFERROR(INDEX('판매구성'!$D$2:$D$501,MATCH(A371,'판매구성'!$A$2:$A$501,0)),""))</f>
        <v/>
      </c>
      <c r="D371" s="6" t="n"/>
      <c r="E371" s="6" t="n"/>
      <c r="F371" s="6" t="n"/>
      <c r="G371" s="6" t="n"/>
      <c r="H371" s="6" t="n"/>
      <c r="I371" s="6" t="n"/>
      <c r="J371" s="6" t="n"/>
      <c r="K371" s="6" t="n"/>
    </row>
    <row r="372">
      <c r="B372" s="2">
        <f>IF(A372="","",IFERROR(INDEX('판매구성'!$B$2:$B$501,MATCH(A372,'판매구성'!$A$2:$A$501,0)),""))</f>
        <v/>
      </c>
      <c r="C372" s="4">
        <f>IF(A372="","",IFERROR(INDEX('판매구성'!$D$2:$D$501,MATCH(A372,'판매구성'!$A$2:$A$501,0)),""))</f>
        <v/>
      </c>
      <c r="D372" s="6" t="n"/>
      <c r="E372" s="6" t="n"/>
      <c r="F372" s="6" t="n"/>
      <c r="G372" s="6" t="n"/>
      <c r="H372" s="6" t="n"/>
      <c r="I372" s="6" t="n"/>
      <c r="J372" s="6" t="n"/>
      <c r="K372" s="6" t="n"/>
    </row>
    <row r="373">
      <c r="B373" s="2">
        <f>IF(A373="","",IFERROR(INDEX('판매구성'!$B$2:$B$501,MATCH(A373,'판매구성'!$A$2:$A$501,0)),""))</f>
        <v/>
      </c>
      <c r="C373" s="4">
        <f>IF(A373="","",IFERROR(INDEX('판매구성'!$D$2:$D$501,MATCH(A373,'판매구성'!$A$2:$A$501,0)),""))</f>
        <v/>
      </c>
      <c r="D373" s="6" t="n"/>
      <c r="E373" s="6" t="n"/>
      <c r="F373" s="6" t="n"/>
      <c r="G373" s="6" t="n"/>
      <c r="H373" s="6" t="n"/>
      <c r="I373" s="6" t="n"/>
      <c r="J373" s="6" t="n"/>
      <c r="K373" s="6" t="n"/>
    </row>
    <row r="374">
      <c r="B374" s="2">
        <f>IF(A374="","",IFERROR(INDEX('판매구성'!$B$2:$B$501,MATCH(A374,'판매구성'!$A$2:$A$501,0)),""))</f>
        <v/>
      </c>
      <c r="C374" s="4">
        <f>IF(A374="","",IFERROR(INDEX('판매구성'!$D$2:$D$501,MATCH(A374,'판매구성'!$A$2:$A$501,0)),""))</f>
        <v/>
      </c>
      <c r="D374" s="6" t="n"/>
      <c r="E374" s="6" t="n"/>
      <c r="F374" s="6" t="n"/>
      <c r="G374" s="6" t="n"/>
      <c r="H374" s="6" t="n"/>
      <c r="I374" s="6" t="n"/>
      <c r="J374" s="6" t="n"/>
      <c r="K374" s="6" t="n"/>
    </row>
    <row r="375">
      <c r="B375" s="2">
        <f>IF(A375="","",IFERROR(INDEX('판매구성'!$B$2:$B$501,MATCH(A375,'판매구성'!$A$2:$A$501,0)),""))</f>
        <v/>
      </c>
      <c r="C375" s="4">
        <f>IF(A375="","",IFERROR(INDEX('판매구성'!$D$2:$D$501,MATCH(A375,'판매구성'!$A$2:$A$501,0)),""))</f>
        <v/>
      </c>
      <c r="D375" s="6" t="n"/>
      <c r="E375" s="6" t="n"/>
      <c r="F375" s="6" t="n"/>
      <c r="G375" s="6" t="n"/>
      <c r="H375" s="6" t="n"/>
      <c r="I375" s="6" t="n"/>
      <c r="J375" s="6" t="n"/>
      <c r="K375" s="6" t="n"/>
    </row>
    <row r="376">
      <c r="B376" s="2">
        <f>IF(A376="","",IFERROR(INDEX('판매구성'!$B$2:$B$501,MATCH(A376,'판매구성'!$A$2:$A$501,0)),""))</f>
        <v/>
      </c>
      <c r="C376" s="4">
        <f>IF(A376="","",IFERROR(INDEX('판매구성'!$D$2:$D$501,MATCH(A376,'판매구성'!$A$2:$A$501,0)),""))</f>
        <v/>
      </c>
      <c r="D376" s="6" t="n"/>
      <c r="E376" s="6" t="n"/>
      <c r="F376" s="6" t="n"/>
      <c r="G376" s="6" t="n"/>
      <c r="H376" s="6" t="n"/>
      <c r="I376" s="6" t="n"/>
      <c r="J376" s="6" t="n"/>
      <c r="K376" s="6" t="n"/>
    </row>
    <row r="377">
      <c r="B377" s="2">
        <f>IF(A377="","",IFERROR(INDEX('판매구성'!$B$2:$B$501,MATCH(A377,'판매구성'!$A$2:$A$501,0)),""))</f>
        <v/>
      </c>
      <c r="C377" s="4">
        <f>IF(A377="","",IFERROR(INDEX('판매구성'!$D$2:$D$501,MATCH(A377,'판매구성'!$A$2:$A$501,0)),""))</f>
        <v/>
      </c>
      <c r="D377" s="6" t="n"/>
      <c r="E377" s="6" t="n"/>
      <c r="F377" s="6" t="n"/>
      <c r="G377" s="6" t="n"/>
      <c r="H377" s="6" t="n"/>
      <c r="I377" s="6" t="n"/>
      <c r="J377" s="6" t="n"/>
      <c r="K377" s="6" t="n"/>
    </row>
    <row r="378">
      <c r="B378" s="2">
        <f>IF(A378="","",IFERROR(INDEX('판매구성'!$B$2:$B$501,MATCH(A378,'판매구성'!$A$2:$A$501,0)),""))</f>
        <v/>
      </c>
      <c r="C378" s="4">
        <f>IF(A378="","",IFERROR(INDEX('판매구성'!$D$2:$D$501,MATCH(A378,'판매구성'!$A$2:$A$501,0)),""))</f>
        <v/>
      </c>
      <c r="D378" s="6" t="n"/>
      <c r="E378" s="6" t="n"/>
      <c r="F378" s="6" t="n"/>
      <c r="G378" s="6" t="n"/>
      <c r="H378" s="6" t="n"/>
      <c r="I378" s="6" t="n"/>
      <c r="J378" s="6" t="n"/>
      <c r="K378" s="6" t="n"/>
    </row>
    <row r="379">
      <c r="B379" s="2">
        <f>IF(A379="","",IFERROR(INDEX('판매구성'!$B$2:$B$501,MATCH(A379,'판매구성'!$A$2:$A$501,0)),""))</f>
        <v/>
      </c>
      <c r="C379" s="4">
        <f>IF(A379="","",IFERROR(INDEX('판매구성'!$D$2:$D$501,MATCH(A379,'판매구성'!$A$2:$A$501,0)),""))</f>
        <v/>
      </c>
      <c r="D379" s="6" t="n"/>
      <c r="E379" s="6" t="n"/>
      <c r="F379" s="6" t="n"/>
      <c r="G379" s="6" t="n"/>
      <c r="H379" s="6" t="n"/>
      <c r="I379" s="6" t="n"/>
      <c r="J379" s="6" t="n"/>
      <c r="K379" s="6" t="n"/>
    </row>
    <row r="380">
      <c r="B380" s="2">
        <f>IF(A380="","",IFERROR(INDEX('판매구성'!$B$2:$B$501,MATCH(A380,'판매구성'!$A$2:$A$501,0)),""))</f>
        <v/>
      </c>
      <c r="C380" s="4">
        <f>IF(A380="","",IFERROR(INDEX('판매구성'!$D$2:$D$501,MATCH(A380,'판매구성'!$A$2:$A$501,0)),""))</f>
        <v/>
      </c>
      <c r="D380" s="6" t="n"/>
      <c r="E380" s="6" t="n"/>
      <c r="F380" s="6" t="n"/>
      <c r="G380" s="6" t="n"/>
      <c r="H380" s="6" t="n"/>
      <c r="I380" s="6" t="n"/>
      <c r="J380" s="6" t="n"/>
      <c r="K380" s="6" t="n"/>
    </row>
    <row r="381">
      <c r="B381" s="2">
        <f>IF(A381="","",IFERROR(INDEX('판매구성'!$B$2:$B$501,MATCH(A381,'판매구성'!$A$2:$A$501,0)),""))</f>
        <v/>
      </c>
      <c r="C381" s="4">
        <f>IF(A381="","",IFERROR(INDEX('판매구성'!$D$2:$D$501,MATCH(A381,'판매구성'!$A$2:$A$501,0)),""))</f>
        <v/>
      </c>
      <c r="D381" s="6" t="n"/>
      <c r="E381" s="6" t="n"/>
      <c r="F381" s="6" t="n"/>
      <c r="G381" s="6" t="n"/>
      <c r="H381" s="6" t="n"/>
      <c r="I381" s="6" t="n"/>
      <c r="J381" s="6" t="n"/>
      <c r="K381" s="6" t="n"/>
    </row>
    <row r="382">
      <c r="B382" s="2">
        <f>IF(A382="","",IFERROR(INDEX('판매구성'!$B$2:$B$501,MATCH(A382,'판매구성'!$A$2:$A$501,0)),""))</f>
        <v/>
      </c>
      <c r="C382" s="4">
        <f>IF(A382="","",IFERROR(INDEX('판매구성'!$D$2:$D$501,MATCH(A382,'판매구성'!$A$2:$A$501,0)),""))</f>
        <v/>
      </c>
      <c r="D382" s="6" t="n"/>
      <c r="E382" s="6" t="n"/>
      <c r="F382" s="6" t="n"/>
      <c r="G382" s="6" t="n"/>
      <c r="H382" s="6" t="n"/>
      <c r="I382" s="6" t="n"/>
      <c r="J382" s="6" t="n"/>
      <c r="K382" s="6" t="n"/>
    </row>
    <row r="383">
      <c r="B383" s="2">
        <f>IF(A383="","",IFERROR(INDEX('판매구성'!$B$2:$B$501,MATCH(A383,'판매구성'!$A$2:$A$501,0)),""))</f>
        <v/>
      </c>
      <c r="C383" s="4">
        <f>IF(A383="","",IFERROR(INDEX('판매구성'!$D$2:$D$501,MATCH(A383,'판매구성'!$A$2:$A$501,0)),""))</f>
        <v/>
      </c>
      <c r="D383" s="6" t="n"/>
      <c r="E383" s="6" t="n"/>
      <c r="F383" s="6" t="n"/>
      <c r="G383" s="6" t="n"/>
      <c r="H383" s="6" t="n"/>
      <c r="I383" s="6" t="n"/>
      <c r="J383" s="6" t="n"/>
      <c r="K383" s="6" t="n"/>
    </row>
    <row r="384">
      <c r="B384" s="2">
        <f>IF(A384="","",IFERROR(INDEX('판매구성'!$B$2:$B$501,MATCH(A384,'판매구성'!$A$2:$A$501,0)),""))</f>
        <v/>
      </c>
      <c r="C384" s="4">
        <f>IF(A384="","",IFERROR(INDEX('판매구성'!$D$2:$D$501,MATCH(A384,'판매구성'!$A$2:$A$501,0)),""))</f>
        <v/>
      </c>
      <c r="D384" s="6" t="n"/>
      <c r="E384" s="6" t="n"/>
      <c r="F384" s="6" t="n"/>
      <c r="G384" s="6" t="n"/>
      <c r="H384" s="6" t="n"/>
      <c r="I384" s="6" t="n"/>
      <c r="J384" s="6" t="n"/>
      <c r="K384" s="6" t="n"/>
    </row>
    <row r="385">
      <c r="B385" s="2">
        <f>IF(A385="","",IFERROR(INDEX('판매구성'!$B$2:$B$501,MATCH(A385,'판매구성'!$A$2:$A$501,0)),""))</f>
        <v/>
      </c>
      <c r="C385" s="4">
        <f>IF(A385="","",IFERROR(INDEX('판매구성'!$D$2:$D$501,MATCH(A385,'판매구성'!$A$2:$A$501,0)),""))</f>
        <v/>
      </c>
      <c r="D385" s="6" t="n"/>
      <c r="E385" s="6" t="n"/>
      <c r="F385" s="6" t="n"/>
      <c r="G385" s="6" t="n"/>
      <c r="H385" s="6" t="n"/>
      <c r="I385" s="6" t="n"/>
      <c r="J385" s="6" t="n"/>
      <c r="K385" s="6" t="n"/>
    </row>
    <row r="386">
      <c r="B386" s="2">
        <f>IF(A386="","",IFERROR(INDEX('판매구성'!$B$2:$B$501,MATCH(A386,'판매구성'!$A$2:$A$501,0)),""))</f>
        <v/>
      </c>
      <c r="C386" s="4">
        <f>IF(A386="","",IFERROR(INDEX('판매구성'!$D$2:$D$501,MATCH(A386,'판매구성'!$A$2:$A$501,0)),""))</f>
        <v/>
      </c>
      <c r="D386" s="6" t="n"/>
      <c r="E386" s="6" t="n"/>
      <c r="F386" s="6" t="n"/>
      <c r="G386" s="6" t="n"/>
      <c r="H386" s="6" t="n"/>
      <c r="I386" s="6" t="n"/>
      <c r="J386" s="6" t="n"/>
      <c r="K386" s="6" t="n"/>
    </row>
    <row r="387">
      <c r="B387" s="2">
        <f>IF(A387="","",IFERROR(INDEX('판매구성'!$B$2:$B$501,MATCH(A387,'판매구성'!$A$2:$A$501,0)),""))</f>
        <v/>
      </c>
      <c r="C387" s="4">
        <f>IF(A387="","",IFERROR(INDEX('판매구성'!$D$2:$D$501,MATCH(A387,'판매구성'!$A$2:$A$501,0)),""))</f>
        <v/>
      </c>
      <c r="D387" s="6" t="n"/>
      <c r="E387" s="6" t="n"/>
      <c r="F387" s="6" t="n"/>
      <c r="G387" s="6" t="n"/>
      <c r="H387" s="6" t="n"/>
      <c r="I387" s="6" t="n"/>
      <c r="J387" s="6" t="n"/>
      <c r="K387" s="6" t="n"/>
    </row>
    <row r="388">
      <c r="B388" s="2">
        <f>IF(A388="","",IFERROR(INDEX('판매구성'!$B$2:$B$501,MATCH(A388,'판매구성'!$A$2:$A$501,0)),""))</f>
        <v/>
      </c>
      <c r="C388" s="4">
        <f>IF(A388="","",IFERROR(INDEX('판매구성'!$D$2:$D$501,MATCH(A388,'판매구성'!$A$2:$A$501,0)),""))</f>
        <v/>
      </c>
      <c r="D388" s="6" t="n"/>
      <c r="E388" s="6" t="n"/>
      <c r="F388" s="6" t="n"/>
      <c r="G388" s="6" t="n"/>
      <c r="H388" s="6" t="n"/>
      <c r="I388" s="6" t="n"/>
      <c r="J388" s="6" t="n"/>
      <c r="K388" s="6" t="n"/>
    </row>
    <row r="389">
      <c r="B389" s="2">
        <f>IF(A389="","",IFERROR(INDEX('판매구성'!$B$2:$B$501,MATCH(A389,'판매구성'!$A$2:$A$501,0)),""))</f>
        <v/>
      </c>
      <c r="C389" s="4">
        <f>IF(A389="","",IFERROR(INDEX('판매구성'!$D$2:$D$501,MATCH(A389,'판매구성'!$A$2:$A$501,0)),""))</f>
        <v/>
      </c>
      <c r="D389" s="6" t="n"/>
      <c r="E389" s="6" t="n"/>
      <c r="F389" s="6" t="n"/>
      <c r="G389" s="6" t="n"/>
      <c r="H389" s="6" t="n"/>
      <c r="I389" s="6" t="n"/>
      <c r="J389" s="6" t="n"/>
      <c r="K389" s="6" t="n"/>
    </row>
    <row r="390">
      <c r="B390" s="2">
        <f>IF(A390="","",IFERROR(INDEX('판매구성'!$B$2:$B$501,MATCH(A390,'판매구성'!$A$2:$A$501,0)),""))</f>
        <v/>
      </c>
      <c r="C390" s="4">
        <f>IF(A390="","",IFERROR(INDEX('판매구성'!$D$2:$D$501,MATCH(A390,'판매구성'!$A$2:$A$501,0)),""))</f>
        <v/>
      </c>
      <c r="D390" s="6" t="n"/>
      <c r="E390" s="6" t="n"/>
      <c r="F390" s="6" t="n"/>
      <c r="G390" s="6" t="n"/>
      <c r="H390" s="6" t="n"/>
      <c r="I390" s="6" t="n"/>
      <c r="J390" s="6" t="n"/>
      <c r="K390" s="6" t="n"/>
    </row>
    <row r="391">
      <c r="B391" s="2">
        <f>IF(A391="","",IFERROR(INDEX('판매구성'!$B$2:$B$501,MATCH(A391,'판매구성'!$A$2:$A$501,0)),""))</f>
        <v/>
      </c>
      <c r="C391" s="4">
        <f>IF(A391="","",IFERROR(INDEX('판매구성'!$D$2:$D$501,MATCH(A391,'판매구성'!$A$2:$A$501,0)),""))</f>
        <v/>
      </c>
      <c r="D391" s="6" t="n"/>
      <c r="E391" s="6" t="n"/>
      <c r="F391" s="6" t="n"/>
      <c r="G391" s="6" t="n"/>
      <c r="H391" s="6" t="n"/>
      <c r="I391" s="6" t="n"/>
      <c r="J391" s="6" t="n"/>
      <c r="K391" s="6" t="n"/>
    </row>
    <row r="392">
      <c r="B392" s="2">
        <f>IF(A392="","",IFERROR(INDEX('판매구성'!$B$2:$B$501,MATCH(A392,'판매구성'!$A$2:$A$501,0)),""))</f>
        <v/>
      </c>
      <c r="C392" s="4">
        <f>IF(A392="","",IFERROR(INDEX('판매구성'!$D$2:$D$501,MATCH(A392,'판매구성'!$A$2:$A$501,0)),""))</f>
        <v/>
      </c>
      <c r="D392" s="6" t="n"/>
      <c r="E392" s="6" t="n"/>
      <c r="F392" s="6" t="n"/>
      <c r="G392" s="6" t="n"/>
      <c r="H392" s="6" t="n"/>
      <c r="I392" s="6" t="n"/>
      <c r="J392" s="6" t="n"/>
      <c r="K392" s="6" t="n"/>
    </row>
    <row r="393">
      <c r="B393" s="2">
        <f>IF(A393="","",IFERROR(INDEX('판매구성'!$B$2:$B$501,MATCH(A393,'판매구성'!$A$2:$A$501,0)),""))</f>
        <v/>
      </c>
      <c r="C393" s="4">
        <f>IF(A393="","",IFERROR(INDEX('판매구성'!$D$2:$D$501,MATCH(A393,'판매구성'!$A$2:$A$501,0)),""))</f>
        <v/>
      </c>
      <c r="D393" s="6" t="n"/>
      <c r="E393" s="6" t="n"/>
      <c r="F393" s="6" t="n"/>
      <c r="G393" s="6" t="n"/>
      <c r="H393" s="6" t="n"/>
      <c r="I393" s="6" t="n"/>
      <c r="J393" s="6" t="n"/>
      <c r="K393" s="6" t="n"/>
    </row>
    <row r="394">
      <c r="B394" s="2">
        <f>IF(A394="","",IFERROR(INDEX('판매구성'!$B$2:$B$501,MATCH(A394,'판매구성'!$A$2:$A$501,0)),""))</f>
        <v/>
      </c>
      <c r="C394" s="4">
        <f>IF(A394="","",IFERROR(INDEX('판매구성'!$D$2:$D$501,MATCH(A394,'판매구성'!$A$2:$A$501,0)),""))</f>
        <v/>
      </c>
      <c r="D394" s="6" t="n"/>
      <c r="E394" s="6" t="n"/>
      <c r="F394" s="6" t="n"/>
      <c r="G394" s="6" t="n"/>
      <c r="H394" s="6" t="n"/>
      <c r="I394" s="6" t="n"/>
      <c r="J394" s="6" t="n"/>
      <c r="K394" s="6" t="n"/>
    </row>
    <row r="395">
      <c r="B395" s="2">
        <f>IF(A395="","",IFERROR(INDEX('판매구성'!$B$2:$B$501,MATCH(A395,'판매구성'!$A$2:$A$501,0)),""))</f>
        <v/>
      </c>
      <c r="C395" s="4">
        <f>IF(A395="","",IFERROR(INDEX('판매구성'!$D$2:$D$501,MATCH(A395,'판매구성'!$A$2:$A$501,0)),""))</f>
        <v/>
      </c>
      <c r="D395" s="6" t="n"/>
      <c r="E395" s="6" t="n"/>
      <c r="F395" s="6" t="n"/>
      <c r="G395" s="6" t="n"/>
      <c r="H395" s="6" t="n"/>
      <c r="I395" s="6" t="n"/>
      <c r="J395" s="6" t="n"/>
      <c r="K395" s="6" t="n"/>
    </row>
    <row r="396">
      <c r="B396" s="2">
        <f>IF(A396="","",IFERROR(INDEX('판매구성'!$B$2:$B$501,MATCH(A396,'판매구성'!$A$2:$A$501,0)),""))</f>
        <v/>
      </c>
      <c r="C396" s="4">
        <f>IF(A396="","",IFERROR(INDEX('판매구성'!$D$2:$D$501,MATCH(A396,'판매구성'!$A$2:$A$501,0)),""))</f>
        <v/>
      </c>
      <c r="D396" s="6" t="n"/>
      <c r="E396" s="6" t="n"/>
      <c r="F396" s="6" t="n"/>
      <c r="G396" s="6" t="n"/>
      <c r="H396" s="6" t="n"/>
      <c r="I396" s="6" t="n"/>
      <c r="J396" s="6" t="n"/>
      <c r="K396" s="6" t="n"/>
    </row>
    <row r="397">
      <c r="B397" s="2">
        <f>IF(A397="","",IFERROR(INDEX('판매구성'!$B$2:$B$501,MATCH(A397,'판매구성'!$A$2:$A$501,0)),""))</f>
        <v/>
      </c>
      <c r="C397" s="4">
        <f>IF(A397="","",IFERROR(INDEX('판매구성'!$D$2:$D$501,MATCH(A397,'판매구성'!$A$2:$A$501,0)),""))</f>
        <v/>
      </c>
      <c r="D397" s="6" t="n"/>
      <c r="E397" s="6" t="n"/>
      <c r="F397" s="6" t="n"/>
      <c r="G397" s="6" t="n"/>
      <c r="H397" s="6" t="n"/>
      <c r="I397" s="6" t="n"/>
      <c r="J397" s="6" t="n"/>
      <c r="K397" s="6" t="n"/>
    </row>
    <row r="398">
      <c r="B398" s="2">
        <f>IF(A398="","",IFERROR(INDEX('판매구성'!$B$2:$B$501,MATCH(A398,'판매구성'!$A$2:$A$501,0)),""))</f>
        <v/>
      </c>
      <c r="C398" s="4">
        <f>IF(A398="","",IFERROR(INDEX('판매구성'!$D$2:$D$501,MATCH(A398,'판매구성'!$A$2:$A$501,0)),""))</f>
        <v/>
      </c>
      <c r="D398" s="6" t="n"/>
      <c r="E398" s="6" t="n"/>
      <c r="F398" s="6" t="n"/>
      <c r="G398" s="6" t="n"/>
      <c r="H398" s="6" t="n"/>
      <c r="I398" s="6" t="n"/>
      <c r="J398" s="6" t="n"/>
      <c r="K398" s="6" t="n"/>
    </row>
    <row r="399">
      <c r="B399" s="2">
        <f>IF(A399="","",IFERROR(INDEX('판매구성'!$B$2:$B$501,MATCH(A399,'판매구성'!$A$2:$A$501,0)),""))</f>
        <v/>
      </c>
      <c r="C399" s="4">
        <f>IF(A399="","",IFERROR(INDEX('판매구성'!$D$2:$D$501,MATCH(A399,'판매구성'!$A$2:$A$501,0)),""))</f>
        <v/>
      </c>
      <c r="D399" s="6" t="n"/>
      <c r="E399" s="6" t="n"/>
      <c r="F399" s="6" t="n"/>
      <c r="G399" s="6" t="n"/>
      <c r="H399" s="6" t="n"/>
      <c r="I399" s="6" t="n"/>
      <c r="J399" s="6" t="n"/>
      <c r="K399" s="6" t="n"/>
    </row>
    <row r="400">
      <c r="B400" s="2">
        <f>IF(A400="","",IFERROR(INDEX('판매구성'!$B$2:$B$501,MATCH(A400,'판매구성'!$A$2:$A$501,0)),""))</f>
        <v/>
      </c>
      <c r="C400" s="4">
        <f>IF(A400="","",IFERROR(INDEX('판매구성'!$D$2:$D$501,MATCH(A400,'판매구성'!$A$2:$A$501,0)),""))</f>
        <v/>
      </c>
      <c r="D400" s="6" t="n"/>
      <c r="E400" s="6" t="n"/>
      <c r="F400" s="6" t="n"/>
      <c r="G400" s="6" t="n"/>
      <c r="H400" s="6" t="n"/>
      <c r="I400" s="6" t="n"/>
      <c r="J400" s="6" t="n"/>
      <c r="K400" s="6" t="n"/>
    </row>
    <row r="401">
      <c r="B401" s="2">
        <f>IF(A401="","",IFERROR(INDEX('판매구성'!$B$2:$B$501,MATCH(A401,'판매구성'!$A$2:$A$501,0)),""))</f>
        <v/>
      </c>
      <c r="C401" s="4">
        <f>IF(A401="","",IFERROR(INDEX('판매구성'!$D$2:$D$501,MATCH(A401,'판매구성'!$A$2:$A$501,0)),""))</f>
        <v/>
      </c>
      <c r="D401" s="6" t="n"/>
      <c r="E401" s="6" t="n"/>
      <c r="F401" s="6" t="n"/>
      <c r="G401" s="6" t="n"/>
      <c r="H401" s="6" t="n"/>
      <c r="I401" s="6" t="n"/>
      <c r="J401" s="6" t="n"/>
      <c r="K401" s="6" t="n"/>
    </row>
    <row r="402">
      <c r="B402" s="2">
        <f>IF(A402="","",IFERROR(INDEX('판매구성'!$B$2:$B$501,MATCH(A402,'판매구성'!$A$2:$A$501,0)),""))</f>
        <v/>
      </c>
      <c r="C402" s="4">
        <f>IF(A402="","",IFERROR(INDEX('판매구성'!$D$2:$D$501,MATCH(A402,'판매구성'!$A$2:$A$501,0)),""))</f>
        <v/>
      </c>
      <c r="D402" s="6" t="n"/>
      <c r="E402" s="6" t="n"/>
      <c r="F402" s="6" t="n"/>
      <c r="G402" s="6" t="n"/>
      <c r="H402" s="6" t="n"/>
      <c r="I402" s="6" t="n"/>
      <c r="J402" s="6" t="n"/>
      <c r="K402" s="6" t="n"/>
    </row>
    <row r="403">
      <c r="B403" s="2">
        <f>IF(A403="","",IFERROR(INDEX('판매구성'!$B$2:$B$501,MATCH(A403,'판매구성'!$A$2:$A$501,0)),""))</f>
        <v/>
      </c>
      <c r="C403" s="4">
        <f>IF(A403="","",IFERROR(INDEX('판매구성'!$D$2:$D$501,MATCH(A403,'판매구성'!$A$2:$A$501,0)),""))</f>
        <v/>
      </c>
      <c r="D403" s="6" t="n"/>
      <c r="E403" s="6" t="n"/>
      <c r="F403" s="6" t="n"/>
      <c r="G403" s="6" t="n"/>
      <c r="H403" s="6" t="n"/>
      <c r="I403" s="6" t="n"/>
      <c r="J403" s="6" t="n"/>
      <c r="K403" s="6" t="n"/>
    </row>
    <row r="404">
      <c r="B404" s="2">
        <f>IF(A404="","",IFERROR(INDEX('판매구성'!$B$2:$B$501,MATCH(A404,'판매구성'!$A$2:$A$501,0)),""))</f>
        <v/>
      </c>
      <c r="C404" s="4">
        <f>IF(A404="","",IFERROR(INDEX('판매구성'!$D$2:$D$501,MATCH(A404,'판매구성'!$A$2:$A$501,0)),""))</f>
        <v/>
      </c>
      <c r="D404" s="6" t="n"/>
      <c r="E404" s="6" t="n"/>
      <c r="F404" s="6" t="n"/>
      <c r="G404" s="6" t="n"/>
      <c r="H404" s="6" t="n"/>
      <c r="I404" s="6" t="n"/>
      <c r="J404" s="6" t="n"/>
      <c r="K404" s="6" t="n"/>
    </row>
    <row r="405">
      <c r="B405" s="2">
        <f>IF(A405="","",IFERROR(INDEX('판매구성'!$B$2:$B$501,MATCH(A405,'판매구성'!$A$2:$A$501,0)),""))</f>
        <v/>
      </c>
      <c r="C405" s="4">
        <f>IF(A405="","",IFERROR(INDEX('판매구성'!$D$2:$D$501,MATCH(A405,'판매구성'!$A$2:$A$501,0)),""))</f>
        <v/>
      </c>
      <c r="D405" s="6" t="n"/>
      <c r="E405" s="6" t="n"/>
      <c r="F405" s="6" t="n"/>
      <c r="G405" s="6" t="n"/>
      <c r="H405" s="6" t="n"/>
      <c r="I405" s="6" t="n"/>
      <c r="J405" s="6" t="n"/>
      <c r="K405" s="6" t="n"/>
    </row>
    <row r="406">
      <c r="B406" s="2">
        <f>IF(A406="","",IFERROR(INDEX('판매구성'!$B$2:$B$501,MATCH(A406,'판매구성'!$A$2:$A$501,0)),""))</f>
        <v/>
      </c>
      <c r="C406" s="4">
        <f>IF(A406="","",IFERROR(INDEX('판매구성'!$D$2:$D$501,MATCH(A406,'판매구성'!$A$2:$A$501,0)),""))</f>
        <v/>
      </c>
      <c r="D406" s="6" t="n"/>
      <c r="E406" s="6" t="n"/>
      <c r="F406" s="6" t="n"/>
      <c r="G406" s="6" t="n"/>
      <c r="H406" s="6" t="n"/>
      <c r="I406" s="6" t="n"/>
      <c r="J406" s="6" t="n"/>
      <c r="K406" s="6" t="n"/>
    </row>
    <row r="407">
      <c r="B407" s="2">
        <f>IF(A407="","",IFERROR(INDEX('판매구성'!$B$2:$B$501,MATCH(A407,'판매구성'!$A$2:$A$501,0)),""))</f>
        <v/>
      </c>
      <c r="C407" s="4">
        <f>IF(A407="","",IFERROR(INDEX('판매구성'!$D$2:$D$501,MATCH(A407,'판매구성'!$A$2:$A$501,0)),""))</f>
        <v/>
      </c>
      <c r="D407" s="6" t="n"/>
      <c r="E407" s="6" t="n"/>
      <c r="F407" s="6" t="n"/>
      <c r="G407" s="6" t="n"/>
      <c r="H407" s="6" t="n"/>
      <c r="I407" s="6" t="n"/>
      <c r="J407" s="6" t="n"/>
      <c r="K407" s="6" t="n"/>
    </row>
    <row r="408">
      <c r="B408" s="2">
        <f>IF(A408="","",IFERROR(INDEX('판매구성'!$B$2:$B$501,MATCH(A408,'판매구성'!$A$2:$A$501,0)),""))</f>
        <v/>
      </c>
      <c r="C408" s="4">
        <f>IF(A408="","",IFERROR(INDEX('판매구성'!$D$2:$D$501,MATCH(A408,'판매구성'!$A$2:$A$501,0)),""))</f>
        <v/>
      </c>
      <c r="D408" s="6" t="n"/>
      <c r="E408" s="6" t="n"/>
      <c r="F408" s="6" t="n"/>
      <c r="G408" s="6" t="n"/>
      <c r="H408" s="6" t="n"/>
      <c r="I408" s="6" t="n"/>
      <c r="J408" s="6" t="n"/>
      <c r="K408" s="6" t="n"/>
    </row>
    <row r="409">
      <c r="B409" s="2">
        <f>IF(A409="","",IFERROR(INDEX('판매구성'!$B$2:$B$501,MATCH(A409,'판매구성'!$A$2:$A$501,0)),""))</f>
        <v/>
      </c>
      <c r="C409" s="4">
        <f>IF(A409="","",IFERROR(INDEX('판매구성'!$D$2:$D$501,MATCH(A409,'판매구성'!$A$2:$A$501,0)),""))</f>
        <v/>
      </c>
      <c r="D409" s="6" t="n"/>
      <c r="E409" s="6" t="n"/>
      <c r="F409" s="6" t="n"/>
      <c r="G409" s="6" t="n"/>
      <c r="H409" s="6" t="n"/>
      <c r="I409" s="6" t="n"/>
      <c r="J409" s="6" t="n"/>
      <c r="K409" s="6" t="n"/>
    </row>
    <row r="410">
      <c r="B410" s="2">
        <f>IF(A410="","",IFERROR(INDEX('판매구성'!$B$2:$B$501,MATCH(A410,'판매구성'!$A$2:$A$501,0)),""))</f>
        <v/>
      </c>
      <c r="C410" s="4">
        <f>IF(A410="","",IFERROR(INDEX('판매구성'!$D$2:$D$501,MATCH(A410,'판매구성'!$A$2:$A$501,0)),""))</f>
        <v/>
      </c>
      <c r="D410" s="6" t="n"/>
      <c r="E410" s="6" t="n"/>
      <c r="F410" s="6" t="n"/>
      <c r="G410" s="6" t="n"/>
      <c r="H410" s="6" t="n"/>
      <c r="I410" s="6" t="n"/>
      <c r="J410" s="6" t="n"/>
      <c r="K410" s="6" t="n"/>
    </row>
    <row r="411">
      <c r="B411" s="2">
        <f>IF(A411="","",IFERROR(INDEX('판매구성'!$B$2:$B$501,MATCH(A411,'판매구성'!$A$2:$A$501,0)),""))</f>
        <v/>
      </c>
      <c r="C411" s="4">
        <f>IF(A411="","",IFERROR(INDEX('판매구성'!$D$2:$D$501,MATCH(A411,'판매구성'!$A$2:$A$501,0)),""))</f>
        <v/>
      </c>
      <c r="D411" s="6" t="n"/>
      <c r="E411" s="6" t="n"/>
      <c r="F411" s="6" t="n"/>
      <c r="G411" s="6" t="n"/>
      <c r="H411" s="6" t="n"/>
      <c r="I411" s="6" t="n"/>
      <c r="J411" s="6" t="n"/>
      <c r="K411" s="6" t="n"/>
    </row>
    <row r="412">
      <c r="B412" s="2">
        <f>IF(A412="","",IFERROR(INDEX('판매구성'!$B$2:$B$501,MATCH(A412,'판매구성'!$A$2:$A$501,0)),""))</f>
        <v/>
      </c>
      <c r="C412" s="4">
        <f>IF(A412="","",IFERROR(INDEX('판매구성'!$D$2:$D$501,MATCH(A412,'판매구성'!$A$2:$A$501,0)),""))</f>
        <v/>
      </c>
      <c r="D412" s="6" t="n"/>
      <c r="E412" s="6" t="n"/>
      <c r="F412" s="6" t="n"/>
      <c r="G412" s="6" t="n"/>
      <c r="H412" s="6" t="n"/>
      <c r="I412" s="6" t="n"/>
      <c r="J412" s="6" t="n"/>
      <c r="K412" s="6" t="n"/>
    </row>
    <row r="413">
      <c r="B413" s="2">
        <f>IF(A413="","",IFERROR(INDEX('판매구성'!$B$2:$B$501,MATCH(A413,'판매구성'!$A$2:$A$501,0)),""))</f>
        <v/>
      </c>
      <c r="C413" s="4">
        <f>IF(A413="","",IFERROR(INDEX('판매구성'!$D$2:$D$501,MATCH(A413,'판매구성'!$A$2:$A$501,0)),""))</f>
        <v/>
      </c>
      <c r="D413" s="6" t="n"/>
      <c r="E413" s="6" t="n"/>
      <c r="F413" s="6" t="n"/>
      <c r="G413" s="6" t="n"/>
      <c r="H413" s="6" t="n"/>
      <c r="I413" s="6" t="n"/>
      <c r="J413" s="6" t="n"/>
      <c r="K413" s="6" t="n"/>
    </row>
    <row r="414">
      <c r="B414" s="2">
        <f>IF(A414="","",IFERROR(INDEX('판매구성'!$B$2:$B$501,MATCH(A414,'판매구성'!$A$2:$A$501,0)),""))</f>
        <v/>
      </c>
      <c r="C414" s="4">
        <f>IF(A414="","",IFERROR(INDEX('판매구성'!$D$2:$D$501,MATCH(A414,'판매구성'!$A$2:$A$501,0)),""))</f>
        <v/>
      </c>
      <c r="D414" s="6" t="n"/>
      <c r="E414" s="6" t="n"/>
      <c r="F414" s="6" t="n"/>
      <c r="G414" s="6" t="n"/>
      <c r="H414" s="6" t="n"/>
      <c r="I414" s="6" t="n"/>
      <c r="J414" s="6" t="n"/>
      <c r="K414" s="6" t="n"/>
    </row>
    <row r="415">
      <c r="B415" s="2">
        <f>IF(A415="","",IFERROR(INDEX('판매구성'!$B$2:$B$501,MATCH(A415,'판매구성'!$A$2:$A$501,0)),""))</f>
        <v/>
      </c>
      <c r="C415" s="4">
        <f>IF(A415="","",IFERROR(INDEX('판매구성'!$D$2:$D$501,MATCH(A415,'판매구성'!$A$2:$A$501,0)),""))</f>
        <v/>
      </c>
      <c r="D415" s="6" t="n"/>
      <c r="E415" s="6" t="n"/>
      <c r="F415" s="6" t="n"/>
      <c r="G415" s="6" t="n"/>
      <c r="H415" s="6" t="n"/>
      <c r="I415" s="6" t="n"/>
      <c r="J415" s="6" t="n"/>
      <c r="K415" s="6" t="n"/>
    </row>
    <row r="416">
      <c r="B416" s="2">
        <f>IF(A416="","",IFERROR(INDEX('판매구성'!$B$2:$B$501,MATCH(A416,'판매구성'!$A$2:$A$501,0)),""))</f>
        <v/>
      </c>
      <c r="C416" s="4">
        <f>IF(A416="","",IFERROR(INDEX('판매구성'!$D$2:$D$501,MATCH(A416,'판매구성'!$A$2:$A$501,0)),""))</f>
        <v/>
      </c>
      <c r="D416" s="6" t="n"/>
      <c r="E416" s="6" t="n"/>
      <c r="F416" s="6" t="n"/>
      <c r="G416" s="6" t="n"/>
      <c r="H416" s="6" t="n"/>
      <c r="I416" s="6" t="n"/>
      <c r="J416" s="6" t="n"/>
      <c r="K416" s="6" t="n"/>
    </row>
    <row r="417">
      <c r="B417" s="2">
        <f>IF(A417="","",IFERROR(INDEX('판매구성'!$B$2:$B$501,MATCH(A417,'판매구성'!$A$2:$A$501,0)),""))</f>
        <v/>
      </c>
      <c r="C417" s="4">
        <f>IF(A417="","",IFERROR(INDEX('판매구성'!$D$2:$D$501,MATCH(A417,'판매구성'!$A$2:$A$501,0)),""))</f>
        <v/>
      </c>
      <c r="D417" s="6" t="n"/>
      <c r="E417" s="6" t="n"/>
      <c r="F417" s="6" t="n"/>
      <c r="G417" s="6" t="n"/>
      <c r="H417" s="6" t="n"/>
      <c r="I417" s="6" t="n"/>
      <c r="J417" s="6" t="n"/>
      <c r="K417" s="6" t="n"/>
    </row>
    <row r="418">
      <c r="B418" s="2">
        <f>IF(A418="","",IFERROR(INDEX('판매구성'!$B$2:$B$501,MATCH(A418,'판매구성'!$A$2:$A$501,0)),""))</f>
        <v/>
      </c>
      <c r="C418" s="4">
        <f>IF(A418="","",IFERROR(INDEX('판매구성'!$D$2:$D$501,MATCH(A418,'판매구성'!$A$2:$A$501,0)),""))</f>
        <v/>
      </c>
      <c r="D418" s="6" t="n"/>
      <c r="E418" s="6" t="n"/>
      <c r="F418" s="6" t="n"/>
      <c r="G418" s="6" t="n"/>
      <c r="H418" s="6" t="n"/>
      <c r="I418" s="6" t="n"/>
      <c r="J418" s="6" t="n"/>
      <c r="K418" s="6" t="n"/>
    </row>
    <row r="419">
      <c r="B419" s="2">
        <f>IF(A419="","",IFERROR(INDEX('판매구성'!$B$2:$B$501,MATCH(A419,'판매구성'!$A$2:$A$501,0)),""))</f>
        <v/>
      </c>
      <c r="C419" s="4">
        <f>IF(A419="","",IFERROR(INDEX('판매구성'!$D$2:$D$501,MATCH(A419,'판매구성'!$A$2:$A$501,0)),""))</f>
        <v/>
      </c>
      <c r="D419" s="6" t="n"/>
      <c r="E419" s="6" t="n"/>
      <c r="F419" s="6" t="n"/>
      <c r="G419" s="6" t="n"/>
      <c r="H419" s="6" t="n"/>
      <c r="I419" s="6" t="n"/>
      <c r="J419" s="6" t="n"/>
      <c r="K419" s="6" t="n"/>
    </row>
    <row r="420">
      <c r="B420" s="2">
        <f>IF(A420="","",IFERROR(INDEX('판매구성'!$B$2:$B$501,MATCH(A420,'판매구성'!$A$2:$A$501,0)),""))</f>
        <v/>
      </c>
      <c r="C420" s="4">
        <f>IF(A420="","",IFERROR(INDEX('판매구성'!$D$2:$D$501,MATCH(A420,'판매구성'!$A$2:$A$501,0)),""))</f>
        <v/>
      </c>
      <c r="D420" s="6" t="n"/>
      <c r="E420" s="6" t="n"/>
      <c r="F420" s="6" t="n"/>
      <c r="G420" s="6" t="n"/>
      <c r="H420" s="6" t="n"/>
      <c r="I420" s="6" t="n"/>
      <c r="J420" s="6" t="n"/>
      <c r="K420" s="6" t="n"/>
    </row>
    <row r="421">
      <c r="B421" s="2">
        <f>IF(A421="","",IFERROR(INDEX('판매구성'!$B$2:$B$501,MATCH(A421,'판매구성'!$A$2:$A$501,0)),""))</f>
        <v/>
      </c>
      <c r="C421" s="4">
        <f>IF(A421="","",IFERROR(INDEX('판매구성'!$D$2:$D$501,MATCH(A421,'판매구성'!$A$2:$A$501,0)),""))</f>
        <v/>
      </c>
      <c r="D421" s="6" t="n"/>
      <c r="E421" s="6" t="n"/>
      <c r="F421" s="6" t="n"/>
      <c r="G421" s="6" t="n"/>
      <c r="H421" s="6" t="n"/>
      <c r="I421" s="6" t="n"/>
      <c r="J421" s="6" t="n"/>
      <c r="K421" s="6" t="n"/>
    </row>
    <row r="422">
      <c r="B422" s="2">
        <f>IF(A422="","",IFERROR(INDEX('판매구성'!$B$2:$B$501,MATCH(A422,'판매구성'!$A$2:$A$501,0)),""))</f>
        <v/>
      </c>
      <c r="C422" s="4">
        <f>IF(A422="","",IFERROR(INDEX('판매구성'!$D$2:$D$501,MATCH(A422,'판매구성'!$A$2:$A$501,0)),""))</f>
        <v/>
      </c>
      <c r="D422" s="6" t="n"/>
      <c r="E422" s="6" t="n"/>
      <c r="F422" s="6" t="n"/>
      <c r="G422" s="6" t="n"/>
      <c r="H422" s="6" t="n"/>
      <c r="I422" s="6" t="n"/>
      <c r="J422" s="6" t="n"/>
      <c r="K422" s="6" t="n"/>
    </row>
    <row r="423">
      <c r="B423" s="2">
        <f>IF(A423="","",IFERROR(INDEX('판매구성'!$B$2:$B$501,MATCH(A423,'판매구성'!$A$2:$A$501,0)),""))</f>
        <v/>
      </c>
      <c r="C423" s="4">
        <f>IF(A423="","",IFERROR(INDEX('판매구성'!$D$2:$D$501,MATCH(A423,'판매구성'!$A$2:$A$501,0)),""))</f>
        <v/>
      </c>
      <c r="D423" s="6" t="n"/>
      <c r="E423" s="6" t="n"/>
      <c r="F423" s="6" t="n"/>
      <c r="G423" s="6" t="n"/>
      <c r="H423" s="6" t="n"/>
      <c r="I423" s="6" t="n"/>
      <c r="J423" s="6" t="n"/>
      <c r="K423" s="6" t="n"/>
    </row>
    <row r="424">
      <c r="B424" s="2">
        <f>IF(A424="","",IFERROR(INDEX('판매구성'!$B$2:$B$501,MATCH(A424,'판매구성'!$A$2:$A$501,0)),""))</f>
        <v/>
      </c>
      <c r="C424" s="4">
        <f>IF(A424="","",IFERROR(INDEX('판매구성'!$D$2:$D$501,MATCH(A424,'판매구성'!$A$2:$A$501,0)),""))</f>
        <v/>
      </c>
      <c r="D424" s="6" t="n"/>
      <c r="E424" s="6" t="n"/>
      <c r="F424" s="6" t="n"/>
      <c r="G424" s="6" t="n"/>
      <c r="H424" s="6" t="n"/>
      <c r="I424" s="6" t="n"/>
      <c r="J424" s="6" t="n"/>
      <c r="K424" s="6" t="n"/>
    </row>
    <row r="425">
      <c r="B425" s="2">
        <f>IF(A425="","",IFERROR(INDEX('판매구성'!$B$2:$B$501,MATCH(A425,'판매구성'!$A$2:$A$501,0)),""))</f>
        <v/>
      </c>
      <c r="C425" s="4">
        <f>IF(A425="","",IFERROR(INDEX('판매구성'!$D$2:$D$501,MATCH(A425,'판매구성'!$A$2:$A$501,0)),""))</f>
        <v/>
      </c>
      <c r="D425" s="6" t="n"/>
      <c r="E425" s="6" t="n"/>
      <c r="F425" s="6" t="n"/>
      <c r="G425" s="6" t="n"/>
      <c r="H425" s="6" t="n"/>
      <c r="I425" s="6" t="n"/>
      <c r="J425" s="6" t="n"/>
      <c r="K425" s="6" t="n"/>
    </row>
    <row r="426">
      <c r="B426" s="2">
        <f>IF(A426="","",IFERROR(INDEX('판매구성'!$B$2:$B$501,MATCH(A426,'판매구성'!$A$2:$A$501,0)),""))</f>
        <v/>
      </c>
      <c r="C426" s="4">
        <f>IF(A426="","",IFERROR(INDEX('판매구성'!$D$2:$D$501,MATCH(A426,'판매구성'!$A$2:$A$501,0)),""))</f>
        <v/>
      </c>
      <c r="D426" s="6" t="n"/>
      <c r="E426" s="6" t="n"/>
      <c r="F426" s="6" t="n"/>
      <c r="G426" s="6" t="n"/>
      <c r="H426" s="6" t="n"/>
      <c r="I426" s="6" t="n"/>
      <c r="J426" s="6" t="n"/>
      <c r="K426" s="6" t="n"/>
    </row>
    <row r="427">
      <c r="B427" s="2">
        <f>IF(A427="","",IFERROR(INDEX('판매구성'!$B$2:$B$501,MATCH(A427,'판매구성'!$A$2:$A$501,0)),""))</f>
        <v/>
      </c>
      <c r="C427" s="4">
        <f>IF(A427="","",IFERROR(INDEX('판매구성'!$D$2:$D$501,MATCH(A427,'판매구성'!$A$2:$A$501,0)),""))</f>
        <v/>
      </c>
      <c r="D427" s="6" t="n"/>
      <c r="E427" s="6" t="n"/>
      <c r="F427" s="6" t="n"/>
      <c r="G427" s="6" t="n"/>
      <c r="H427" s="6" t="n"/>
      <c r="I427" s="6" t="n"/>
      <c r="J427" s="6" t="n"/>
      <c r="K427" s="6" t="n"/>
    </row>
    <row r="428">
      <c r="B428" s="2">
        <f>IF(A428="","",IFERROR(INDEX('판매구성'!$B$2:$B$501,MATCH(A428,'판매구성'!$A$2:$A$501,0)),""))</f>
        <v/>
      </c>
      <c r="C428" s="4">
        <f>IF(A428="","",IFERROR(INDEX('판매구성'!$D$2:$D$501,MATCH(A428,'판매구성'!$A$2:$A$501,0)),""))</f>
        <v/>
      </c>
      <c r="D428" s="6" t="n"/>
      <c r="E428" s="6" t="n"/>
      <c r="F428" s="6" t="n"/>
      <c r="G428" s="6" t="n"/>
      <c r="H428" s="6" t="n"/>
      <c r="I428" s="6" t="n"/>
      <c r="J428" s="6" t="n"/>
      <c r="K428" s="6" t="n"/>
    </row>
    <row r="429">
      <c r="B429" s="2">
        <f>IF(A429="","",IFERROR(INDEX('판매구성'!$B$2:$B$501,MATCH(A429,'판매구성'!$A$2:$A$501,0)),""))</f>
        <v/>
      </c>
      <c r="C429" s="4">
        <f>IF(A429="","",IFERROR(INDEX('판매구성'!$D$2:$D$501,MATCH(A429,'판매구성'!$A$2:$A$501,0)),""))</f>
        <v/>
      </c>
      <c r="D429" s="6" t="n"/>
      <c r="E429" s="6" t="n"/>
      <c r="F429" s="6" t="n"/>
      <c r="G429" s="6" t="n"/>
      <c r="H429" s="6" t="n"/>
      <c r="I429" s="6" t="n"/>
      <c r="J429" s="6" t="n"/>
      <c r="K429" s="6" t="n"/>
    </row>
    <row r="430">
      <c r="B430" s="2">
        <f>IF(A430="","",IFERROR(INDEX('판매구성'!$B$2:$B$501,MATCH(A430,'판매구성'!$A$2:$A$501,0)),""))</f>
        <v/>
      </c>
      <c r="C430" s="4">
        <f>IF(A430="","",IFERROR(INDEX('판매구성'!$D$2:$D$501,MATCH(A430,'판매구성'!$A$2:$A$501,0)),""))</f>
        <v/>
      </c>
      <c r="D430" s="6" t="n"/>
      <c r="E430" s="6" t="n"/>
      <c r="F430" s="6" t="n"/>
      <c r="G430" s="6" t="n"/>
      <c r="H430" s="6" t="n"/>
      <c r="I430" s="6" t="n"/>
      <c r="J430" s="6" t="n"/>
      <c r="K430" s="6" t="n"/>
    </row>
    <row r="431">
      <c r="B431" s="2">
        <f>IF(A431="","",IFERROR(INDEX('판매구성'!$B$2:$B$501,MATCH(A431,'판매구성'!$A$2:$A$501,0)),""))</f>
        <v/>
      </c>
      <c r="C431" s="4">
        <f>IF(A431="","",IFERROR(INDEX('판매구성'!$D$2:$D$501,MATCH(A431,'판매구성'!$A$2:$A$501,0)),""))</f>
        <v/>
      </c>
      <c r="D431" s="6" t="n"/>
      <c r="E431" s="6" t="n"/>
      <c r="F431" s="6" t="n"/>
      <c r="G431" s="6" t="n"/>
      <c r="H431" s="6" t="n"/>
      <c r="I431" s="6" t="n"/>
      <c r="J431" s="6" t="n"/>
      <c r="K431" s="6" t="n"/>
    </row>
    <row r="432">
      <c r="B432" s="2">
        <f>IF(A432="","",IFERROR(INDEX('판매구성'!$B$2:$B$501,MATCH(A432,'판매구성'!$A$2:$A$501,0)),""))</f>
        <v/>
      </c>
      <c r="C432" s="4">
        <f>IF(A432="","",IFERROR(INDEX('판매구성'!$D$2:$D$501,MATCH(A432,'판매구성'!$A$2:$A$501,0)),""))</f>
        <v/>
      </c>
      <c r="D432" s="6" t="n"/>
      <c r="E432" s="6" t="n"/>
      <c r="F432" s="6" t="n"/>
      <c r="G432" s="6" t="n"/>
      <c r="H432" s="6" t="n"/>
      <c r="I432" s="6" t="n"/>
      <c r="J432" s="6" t="n"/>
      <c r="K432" s="6" t="n"/>
    </row>
    <row r="433">
      <c r="B433" s="2">
        <f>IF(A433="","",IFERROR(INDEX('판매구성'!$B$2:$B$501,MATCH(A433,'판매구성'!$A$2:$A$501,0)),""))</f>
        <v/>
      </c>
      <c r="C433" s="4">
        <f>IF(A433="","",IFERROR(INDEX('판매구성'!$D$2:$D$501,MATCH(A433,'판매구성'!$A$2:$A$501,0)),""))</f>
        <v/>
      </c>
      <c r="D433" s="6" t="n"/>
      <c r="E433" s="6" t="n"/>
      <c r="F433" s="6" t="n"/>
      <c r="G433" s="6" t="n"/>
      <c r="H433" s="6" t="n"/>
      <c r="I433" s="6" t="n"/>
      <c r="J433" s="6" t="n"/>
      <c r="K433" s="6" t="n"/>
    </row>
    <row r="434">
      <c r="B434" s="2">
        <f>IF(A434="","",IFERROR(INDEX('판매구성'!$B$2:$B$501,MATCH(A434,'판매구성'!$A$2:$A$501,0)),""))</f>
        <v/>
      </c>
      <c r="C434" s="4">
        <f>IF(A434="","",IFERROR(INDEX('판매구성'!$D$2:$D$501,MATCH(A434,'판매구성'!$A$2:$A$501,0)),""))</f>
        <v/>
      </c>
      <c r="D434" s="6" t="n"/>
      <c r="E434" s="6" t="n"/>
      <c r="F434" s="6" t="n"/>
      <c r="G434" s="6" t="n"/>
      <c r="H434" s="6" t="n"/>
      <c r="I434" s="6" t="n"/>
      <c r="J434" s="6" t="n"/>
      <c r="K434" s="6" t="n"/>
    </row>
    <row r="435">
      <c r="B435" s="2">
        <f>IF(A435="","",IFERROR(INDEX('판매구성'!$B$2:$B$501,MATCH(A435,'판매구성'!$A$2:$A$501,0)),""))</f>
        <v/>
      </c>
      <c r="C435" s="4">
        <f>IF(A435="","",IFERROR(INDEX('판매구성'!$D$2:$D$501,MATCH(A435,'판매구성'!$A$2:$A$501,0)),""))</f>
        <v/>
      </c>
      <c r="D435" s="6" t="n"/>
      <c r="E435" s="6" t="n"/>
      <c r="F435" s="6" t="n"/>
      <c r="G435" s="6" t="n"/>
      <c r="H435" s="6" t="n"/>
      <c r="I435" s="6" t="n"/>
      <c r="J435" s="6" t="n"/>
      <c r="K435" s="6" t="n"/>
    </row>
    <row r="436">
      <c r="B436" s="2">
        <f>IF(A436="","",IFERROR(INDEX('판매구성'!$B$2:$B$501,MATCH(A436,'판매구성'!$A$2:$A$501,0)),""))</f>
        <v/>
      </c>
      <c r="C436" s="4">
        <f>IF(A436="","",IFERROR(INDEX('판매구성'!$D$2:$D$501,MATCH(A436,'판매구성'!$A$2:$A$501,0)),""))</f>
        <v/>
      </c>
      <c r="D436" s="6" t="n"/>
      <c r="E436" s="6" t="n"/>
      <c r="F436" s="6" t="n"/>
      <c r="G436" s="6" t="n"/>
      <c r="H436" s="6" t="n"/>
      <c r="I436" s="6" t="n"/>
      <c r="J436" s="6" t="n"/>
      <c r="K436" s="6" t="n"/>
    </row>
    <row r="437">
      <c r="B437" s="2">
        <f>IF(A437="","",IFERROR(INDEX('판매구성'!$B$2:$B$501,MATCH(A437,'판매구성'!$A$2:$A$501,0)),""))</f>
        <v/>
      </c>
      <c r="C437" s="4">
        <f>IF(A437="","",IFERROR(INDEX('판매구성'!$D$2:$D$501,MATCH(A437,'판매구성'!$A$2:$A$501,0)),""))</f>
        <v/>
      </c>
      <c r="D437" s="6" t="n"/>
      <c r="E437" s="6" t="n"/>
      <c r="F437" s="6" t="n"/>
      <c r="G437" s="6" t="n"/>
      <c r="H437" s="6" t="n"/>
      <c r="I437" s="6" t="n"/>
      <c r="J437" s="6" t="n"/>
      <c r="K437" s="6" t="n"/>
    </row>
    <row r="438">
      <c r="B438" s="2">
        <f>IF(A438="","",IFERROR(INDEX('판매구성'!$B$2:$B$501,MATCH(A438,'판매구성'!$A$2:$A$501,0)),""))</f>
        <v/>
      </c>
      <c r="C438" s="4">
        <f>IF(A438="","",IFERROR(INDEX('판매구성'!$D$2:$D$501,MATCH(A438,'판매구성'!$A$2:$A$501,0)),""))</f>
        <v/>
      </c>
      <c r="D438" s="6" t="n"/>
      <c r="E438" s="6" t="n"/>
      <c r="F438" s="6" t="n"/>
      <c r="G438" s="6" t="n"/>
      <c r="H438" s="6" t="n"/>
      <c r="I438" s="6" t="n"/>
      <c r="J438" s="6" t="n"/>
      <c r="K438" s="6" t="n"/>
    </row>
    <row r="439">
      <c r="B439" s="2">
        <f>IF(A439="","",IFERROR(INDEX('판매구성'!$B$2:$B$501,MATCH(A439,'판매구성'!$A$2:$A$501,0)),""))</f>
        <v/>
      </c>
      <c r="C439" s="4">
        <f>IF(A439="","",IFERROR(INDEX('판매구성'!$D$2:$D$501,MATCH(A439,'판매구성'!$A$2:$A$501,0)),""))</f>
        <v/>
      </c>
      <c r="D439" s="6" t="n"/>
      <c r="E439" s="6" t="n"/>
      <c r="F439" s="6" t="n"/>
      <c r="G439" s="6" t="n"/>
      <c r="H439" s="6" t="n"/>
      <c r="I439" s="6" t="n"/>
      <c r="J439" s="6" t="n"/>
      <c r="K439" s="6" t="n"/>
    </row>
    <row r="440">
      <c r="B440" s="2">
        <f>IF(A440="","",IFERROR(INDEX('판매구성'!$B$2:$B$501,MATCH(A440,'판매구성'!$A$2:$A$501,0)),""))</f>
        <v/>
      </c>
      <c r="C440" s="4">
        <f>IF(A440="","",IFERROR(INDEX('판매구성'!$D$2:$D$501,MATCH(A440,'판매구성'!$A$2:$A$501,0)),""))</f>
        <v/>
      </c>
      <c r="D440" s="6" t="n"/>
      <c r="E440" s="6" t="n"/>
      <c r="F440" s="6" t="n"/>
      <c r="G440" s="6" t="n"/>
      <c r="H440" s="6" t="n"/>
      <c r="I440" s="6" t="n"/>
      <c r="J440" s="6" t="n"/>
      <c r="K440" s="6" t="n"/>
    </row>
    <row r="441">
      <c r="B441" s="2">
        <f>IF(A441="","",IFERROR(INDEX('판매구성'!$B$2:$B$501,MATCH(A441,'판매구성'!$A$2:$A$501,0)),""))</f>
        <v/>
      </c>
      <c r="C441" s="4">
        <f>IF(A441="","",IFERROR(INDEX('판매구성'!$D$2:$D$501,MATCH(A441,'판매구성'!$A$2:$A$501,0)),""))</f>
        <v/>
      </c>
      <c r="D441" s="6" t="n"/>
      <c r="E441" s="6" t="n"/>
      <c r="F441" s="6" t="n"/>
      <c r="G441" s="6" t="n"/>
      <c r="H441" s="6" t="n"/>
      <c r="I441" s="6" t="n"/>
      <c r="J441" s="6" t="n"/>
      <c r="K441" s="6" t="n"/>
    </row>
    <row r="442">
      <c r="B442" s="2">
        <f>IF(A442="","",IFERROR(INDEX('판매구성'!$B$2:$B$501,MATCH(A442,'판매구성'!$A$2:$A$501,0)),""))</f>
        <v/>
      </c>
      <c r="C442" s="4">
        <f>IF(A442="","",IFERROR(INDEX('판매구성'!$D$2:$D$501,MATCH(A442,'판매구성'!$A$2:$A$501,0)),""))</f>
        <v/>
      </c>
      <c r="D442" s="6" t="n"/>
      <c r="E442" s="6" t="n"/>
      <c r="F442" s="6" t="n"/>
      <c r="G442" s="6" t="n"/>
      <c r="H442" s="6" t="n"/>
      <c r="I442" s="6" t="n"/>
      <c r="J442" s="6" t="n"/>
      <c r="K442" s="6" t="n"/>
    </row>
    <row r="443">
      <c r="B443" s="2">
        <f>IF(A443="","",IFERROR(INDEX('판매구성'!$B$2:$B$501,MATCH(A443,'판매구성'!$A$2:$A$501,0)),""))</f>
        <v/>
      </c>
      <c r="C443" s="4">
        <f>IF(A443="","",IFERROR(INDEX('판매구성'!$D$2:$D$501,MATCH(A443,'판매구성'!$A$2:$A$501,0)),""))</f>
        <v/>
      </c>
      <c r="D443" s="6" t="n"/>
      <c r="E443" s="6" t="n"/>
      <c r="F443" s="6" t="n"/>
      <c r="G443" s="6" t="n"/>
      <c r="H443" s="6" t="n"/>
      <c r="I443" s="6" t="n"/>
      <c r="J443" s="6" t="n"/>
      <c r="K443" s="6" t="n"/>
    </row>
    <row r="444">
      <c r="B444" s="2">
        <f>IF(A444="","",IFERROR(INDEX('판매구성'!$B$2:$B$501,MATCH(A444,'판매구성'!$A$2:$A$501,0)),""))</f>
        <v/>
      </c>
      <c r="C444" s="4">
        <f>IF(A444="","",IFERROR(INDEX('판매구성'!$D$2:$D$501,MATCH(A444,'판매구성'!$A$2:$A$501,0)),""))</f>
        <v/>
      </c>
      <c r="D444" s="6" t="n"/>
      <c r="E444" s="6" t="n"/>
      <c r="F444" s="6" t="n"/>
      <c r="G444" s="6" t="n"/>
      <c r="H444" s="6" t="n"/>
      <c r="I444" s="6" t="n"/>
      <c r="J444" s="6" t="n"/>
      <c r="K444" s="6" t="n"/>
    </row>
    <row r="445">
      <c r="B445" s="2">
        <f>IF(A445="","",IFERROR(INDEX('판매구성'!$B$2:$B$501,MATCH(A445,'판매구성'!$A$2:$A$501,0)),""))</f>
        <v/>
      </c>
      <c r="C445" s="4">
        <f>IF(A445="","",IFERROR(INDEX('판매구성'!$D$2:$D$501,MATCH(A445,'판매구성'!$A$2:$A$501,0)),""))</f>
        <v/>
      </c>
      <c r="D445" s="6" t="n"/>
      <c r="E445" s="6" t="n"/>
      <c r="F445" s="6" t="n"/>
      <c r="G445" s="6" t="n"/>
      <c r="H445" s="6" t="n"/>
      <c r="I445" s="6" t="n"/>
      <c r="J445" s="6" t="n"/>
      <c r="K445" s="6" t="n"/>
    </row>
    <row r="446">
      <c r="B446" s="2">
        <f>IF(A446="","",IFERROR(INDEX('판매구성'!$B$2:$B$501,MATCH(A446,'판매구성'!$A$2:$A$501,0)),""))</f>
        <v/>
      </c>
      <c r="C446" s="4">
        <f>IF(A446="","",IFERROR(INDEX('판매구성'!$D$2:$D$501,MATCH(A446,'판매구성'!$A$2:$A$501,0)),""))</f>
        <v/>
      </c>
      <c r="D446" s="6" t="n"/>
      <c r="E446" s="6" t="n"/>
      <c r="F446" s="6" t="n"/>
      <c r="G446" s="6" t="n"/>
      <c r="H446" s="6" t="n"/>
      <c r="I446" s="6" t="n"/>
      <c r="J446" s="6" t="n"/>
      <c r="K446" s="6" t="n"/>
    </row>
    <row r="447">
      <c r="B447" s="2">
        <f>IF(A447="","",IFERROR(INDEX('판매구성'!$B$2:$B$501,MATCH(A447,'판매구성'!$A$2:$A$501,0)),""))</f>
        <v/>
      </c>
      <c r="C447" s="4">
        <f>IF(A447="","",IFERROR(INDEX('판매구성'!$D$2:$D$501,MATCH(A447,'판매구성'!$A$2:$A$501,0)),""))</f>
        <v/>
      </c>
      <c r="D447" s="6" t="n"/>
      <c r="E447" s="6" t="n"/>
      <c r="F447" s="6" t="n"/>
      <c r="G447" s="6" t="n"/>
      <c r="H447" s="6" t="n"/>
      <c r="I447" s="6" t="n"/>
      <c r="J447" s="6" t="n"/>
      <c r="K447" s="6" t="n"/>
    </row>
    <row r="448">
      <c r="B448" s="2">
        <f>IF(A448="","",IFERROR(INDEX('판매구성'!$B$2:$B$501,MATCH(A448,'판매구성'!$A$2:$A$501,0)),""))</f>
        <v/>
      </c>
      <c r="C448" s="4">
        <f>IF(A448="","",IFERROR(INDEX('판매구성'!$D$2:$D$501,MATCH(A448,'판매구성'!$A$2:$A$501,0)),""))</f>
        <v/>
      </c>
      <c r="D448" s="6" t="n"/>
      <c r="E448" s="6" t="n"/>
      <c r="F448" s="6" t="n"/>
      <c r="G448" s="6" t="n"/>
      <c r="H448" s="6" t="n"/>
      <c r="I448" s="6" t="n"/>
      <c r="J448" s="6" t="n"/>
      <c r="K448" s="6" t="n"/>
    </row>
    <row r="449">
      <c r="B449" s="2">
        <f>IF(A449="","",IFERROR(INDEX('판매구성'!$B$2:$B$501,MATCH(A449,'판매구성'!$A$2:$A$501,0)),""))</f>
        <v/>
      </c>
      <c r="C449" s="4">
        <f>IF(A449="","",IFERROR(INDEX('판매구성'!$D$2:$D$501,MATCH(A449,'판매구성'!$A$2:$A$501,0)),""))</f>
        <v/>
      </c>
      <c r="D449" s="6" t="n"/>
      <c r="E449" s="6" t="n"/>
      <c r="F449" s="6" t="n"/>
      <c r="G449" s="6" t="n"/>
      <c r="H449" s="6" t="n"/>
      <c r="I449" s="6" t="n"/>
      <c r="J449" s="6" t="n"/>
      <c r="K449" s="6" t="n"/>
    </row>
    <row r="450">
      <c r="B450" s="2">
        <f>IF(A450="","",IFERROR(INDEX('판매구성'!$B$2:$B$501,MATCH(A450,'판매구성'!$A$2:$A$501,0)),""))</f>
        <v/>
      </c>
      <c r="C450" s="4">
        <f>IF(A450="","",IFERROR(INDEX('판매구성'!$D$2:$D$501,MATCH(A450,'판매구성'!$A$2:$A$501,0)),""))</f>
        <v/>
      </c>
      <c r="D450" s="6" t="n"/>
      <c r="E450" s="6" t="n"/>
      <c r="F450" s="6" t="n"/>
      <c r="G450" s="6" t="n"/>
      <c r="H450" s="6" t="n"/>
      <c r="I450" s="6" t="n"/>
      <c r="J450" s="6" t="n"/>
      <c r="K450" s="6" t="n"/>
    </row>
    <row r="451">
      <c r="B451" s="2">
        <f>IF(A451="","",IFERROR(INDEX('판매구성'!$B$2:$B$501,MATCH(A451,'판매구성'!$A$2:$A$501,0)),""))</f>
        <v/>
      </c>
      <c r="C451" s="4">
        <f>IF(A451="","",IFERROR(INDEX('판매구성'!$D$2:$D$501,MATCH(A451,'판매구성'!$A$2:$A$501,0)),""))</f>
        <v/>
      </c>
      <c r="D451" s="6" t="n"/>
      <c r="E451" s="6" t="n"/>
      <c r="F451" s="6" t="n"/>
      <c r="G451" s="6" t="n"/>
      <c r="H451" s="6" t="n"/>
      <c r="I451" s="6" t="n"/>
      <c r="J451" s="6" t="n"/>
      <c r="K451" s="6" t="n"/>
    </row>
    <row r="452">
      <c r="B452" s="2">
        <f>IF(A452="","",IFERROR(INDEX('판매구성'!$B$2:$B$501,MATCH(A452,'판매구성'!$A$2:$A$501,0)),""))</f>
        <v/>
      </c>
      <c r="C452" s="4">
        <f>IF(A452="","",IFERROR(INDEX('판매구성'!$D$2:$D$501,MATCH(A452,'판매구성'!$A$2:$A$501,0)),""))</f>
        <v/>
      </c>
      <c r="D452" s="6" t="n"/>
      <c r="E452" s="6" t="n"/>
      <c r="F452" s="6" t="n"/>
      <c r="G452" s="6" t="n"/>
      <c r="H452" s="6" t="n"/>
      <c r="I452" s="6" t="n"/>
      <c r="J452" s="6" t="n"/>
      <c r="K452" s="6" t="n"/>
    </row>
    <row r="453">
      <c r="B453" s="2">
        <f>IF(A453="","",IFERROR(INDEX('판매구성'!$B$2:$B$501,MATCH(A453,'판매구성'!$A$2:$A$501,0)),""))</f>
        <v/>
      </c>
      <c r="C453" s="4">
        <f>IF(A453="","",IFERROR(INDEX('판매구성'!$D$2:$D$501,MATCH(A453,'판매구성'!$A$2:$A$501,0)),""))</f>
        <v/>
      </c>
      <c r="D453" s="6" t="n"/>
      <c r="E453" s="6" t="n"/>
      <c r="F453" s="6" t="n"/>
      <c r="G453" s="6" t="n"/>
      <c r="H453" s="6" t="n"/>
      <c r="I453" s="6" t="n"/>
      <c r="J453" s="6" t="n"/>
      <c r="K453" s="6" t="n"/>
    </row>
    <row r="454">
      <c r="B454" s="2">
        <f>IF(A454="","",IFERROR(INDEX('판매구성'!$B$2:$B$501,MATCH(A454,'판매구성'!$A$2:$A$501,0)),""))</f>
        <v/>
      </c>
      <c r="C454" s="4">
        <f>IF(A454="","",IFERROR(INDEX('판매구성'!$D$2:$D$501,MATCH(A454,'판매구성'!$A$2:$A$501,0)),""))</f>
        <v/>
      </c>
      <c r="D454" s="6" t="n"/>
      <c r="E454" s="6" t="n"/>
      <c r="F454" s="6" t="n"/>
      <c r="G454" s="6" t="n"/>
      <c r="H454" s="6" t="n"/>
      <c r="I454" s="6" t="n"/>
      <c r="J454" s="6" t="n"/>
      <c r="K454" s="6" t="n"/>
    </row>
    <row r="455">
      <c r="B455" s="2">
        <f>IF(A455="","",IFERROR(INDEX('판매구성'!$B$2:$B$501,MATCH(A455,'판매구성'!$A$2:$A$501,0)),""))</f>
        <v/>
      </c>
      <c r="C455" s="4">
        <f>IF(A455="","",IFERROR(INDEX('판매구성'!$D$2:$D$501,MATCH(A455,'판매구성'!$A$2:$A$501,0)),""))</f>
        <v/>
      </c>
      <c r="D455" s="6" t="n"/>
      <c r="E455" s="6" t="n"/>
      <c r="F455" s="6" t="n"/>
      <c r="G455" s="6" t="n"/>
      <c r="H455" s="6" t="n"/>
      <c r="I455" s="6" t="n"/>
      <c r="J455" s="6" t="n"/>
      <c r="K455" s="6" t="n"/>
    </row>
    <row r="456">
      <c r="B456" s="2">
        <f>IF(A456="","",IFERROR(INDEX('판매구성'!$B$2:$B$501,MATCH(A456,'판매구성'!$A$2:$A$501,0)),""))</f>
        <v/>
      </c>
      <c r="C456" s="4">
        <f>IF(A456="","",IFERROR(INDEX('판매구성'!$D$2:$D$501,MATCH(A456,'판매구성'!$A$2:$A$501,0)),""))</f>
        <v/>
      </c>
      <c r="D456" s="6" t="n"/>
      <c r="E456" s="6" t="n"/>
      <c r="F456" s="6" t="n"/>
      <c r="G456" s="6" t="n"/>
      <c r="H456" s="6" t="n"/>
      <c r="I456" s="6" t="n"/>
      <c r="J456" s="6" t="n"/>
      <c r="K456" s="6" t="n"/>
    </row>
    <row r="457">
      <c r="B457" s="2">
        <f>IF(A457="","",IFERROR(INDEX('판매구성'!$B$2:$B$501,MATCH(A457,'판매구성'!$A$2:$A$501,0)),""))</f>
        <v/>
      </c>
      <c r="C457" s="4">
        <f>IF(A457="","",IFERROR(INDEX('판매구성'!$D$2:$D$501,MATCH(A457,'판매구성'!$A$2:$A$501,0)),""))</f>
        <v/>
      </c>
      <c r="D457" s="6" t="n"/>
      <c r="E457" s="6" t="n"/>
      <c r="F457" s="6" t="n"/>
      <c r="G457" s="6" t="n"/>
      <c r="H457" s="6" t="n"/>
      <c r="I457" s="6" t="n"/>
      <c r="J457" s="6" t="n"/>
      <c r="K457" s="6" t="n"/>
    </row>
    <row r="458">
      <c r="B458" s="2">
        <f>IF(A458="","",IFERROR(INDEX('판매구성'!$B$2:$B$501,MATCH(A458,'판매구성'!$A$2:$A$501,0)),""))</f>
        <v/>
      </c>
      <c r="C458" s="4">
        <f>IF(A458="","",IFERROR(INDEX('판매구성'!$D$2:$D$501,MATCH(A458,'판매구성'!$A$2:$A$501,0)),""))</f>
        <v/>
      </c>
      <c r="D458" s="6" t="n"/>
      <c r="E458" s="6" t="n"/>
      <c r="F458" s="6" t="n"/>
      <c r="G458" s="6" t="n"/>
      <c r="H458" s="6" t="n"/>
      <c r="I458" s="6" t="n"/>
      <c r="J458" s="6" t="n"/>
      <c r="K458" s="6" t="n"/>
    </row>
    <row r="459">
      <c r="B459" s="2">
        <f>IF(A459="","",IFERROR(INDEX('판매구성'!$B$2:$B$501,MATCH(A459,'판매구성'!$A$2:$A$501,0)),""))</f>
        <v/>
      </c>
      <c r="C459" s="4">
        <f>IF(A459="","",IFERROR(INDEX('판매구성'!$D$2:$D$501,MATCH(A459,'판매구성'!$A$2:$A$501,0)),""))</f>
        <v/>
      </c>
      <c r="D459" s="6" t="n"/>
      <c r="E459" s="6" t="n"/>
      <c r="F459" s="6" t="n"/>
      <c r="G459" s="6" t="n"/>
      <c r="H459" s="6" t="n"/>
      <c r="I459" s="6" t="n"/>
      <c r="J459" s="6" t="n"/>
      <c r="K459" s="6" t="n"/>
    </row>
    <row r="460">
      <c r="B460" s="2">
        <f>IF(A460="","",IFERROR(INDEX('판매구성'!$B$2:$B$501,MATCH(A460,'판매구성'!$A$2:$A$501,0)),""))</f>
        <v/>
      </c>
      <c r="C460" s="4">
        <f>IF(A460="","",IFERROR(INDEX('판매구성'!$D$2:$D$501,MATCH(A460,'판매구성'!$A$2:$A$501,0)),""))</f>
        <v/>
      </c>
      <c r="D460" s="6" t="n"/>
      <c r="E460" s="6" t="n"/>
      <c r="F460" s="6" t="n"/>
      <c r="G460" s="6" t="n"/>
      <c r="H460" s="6" t="n"/>
      <c r="I460" s="6" t="n"/>
      <c r="J460" s="6" t="n"/>
      <c r="K460" s="6" t="n"/>
    </row>
    <row r="461">
      <c r="B461" s="2">
        <f>IF(A461="","",IFERROR(INDEX('판매구성'!$B$2:$B$501,MATCH(A461,'판매구성'!$A$2:$A$501,0)),""))</f>
        <v/>
      </c>
      <c r="C461" s="4">
        <f>IF(A461="","",IFERROR(INDEX('판매구성'!$D$2:$D$501,MATCH(A461,'판매구성'!$A$2:$A$501,0)),""))</f>
        <v/>
      </c>
      <c r="D461" s="6" t="n"/>
      <c r="E461" s="6" t="n"/>
      <c r="F461" s="6" t="n"/>
      <c r="G461" s="6" t="n"/>
      <c r="H461" s="6" t="n"/>
      <c r="I461" s="6" t="n"/>
      <c r="J461" s="6" t="n"/>
      <c r="K461" s="6" t="n"/>
    </row>
    <row r="462">
      <c r="B462" s="2">
        <f>IF(A462="","",IFERROR(INDEX('판매구성'!$B$2:$B$501,MATCH(A462,'판매구성'!$A$2:$A$501,0)),""))</f>
        <v/>
      </c>
      <c r="C462" s="4">
        <f>IF(A462="","",IFERROR(INDEX('판매구성'!$D$2:$D$501,MATCH(A462,'판매구성'!$A$2:$A$501,0)),""))</f>
        <v/>
      </c>
      <c r="D462" s="6" t="n"/>
      <c r="E462" s="6" t="n"/>
      <c r="F462" s="6" t="n"/>
      <c r="G462" s="6" t="n"/>
      <c r="H462" s="6" t="n"/>
      <c r="I462" s="6" t="n"/>
      <c r="J462" s="6" t="n"/>
      <c r="K462" s="6" t="n"/>
    </row>
    <row r="463">
      <c r="B463" s="2">
        <f>IF(A463="","",IFERROR(INDEX('판매구성'!$B$2:$B$501,MATCH(A463,'판매구성'!$A$2:$A$501,0)),""))</f>
        <v/>
      </c>
      <c r="C463" s="4">
        <f>IF(A463="","",IFERROR(INDEX('판매구성'!$D$2:$D$501,MATCH(A463,'판매구성'!$A$2:$A$501,0)),""))</f>
        <v/>
      </c>
      <c r="D463" s="6" t="n"/>
      <c r="E463" s="6" t="n"/>
      <c r="F463" s="6" t="n"/>
      <c r="G463" s="6" t="n"/>
      <c r="H463" s="6" t="n"/>
      <c r="I463" s="6" t="n"/>
      <c r="J463" s="6" t="n"/>
      <c r="K463" s="6" t="n"/>
    </row>
    <row r="464">
      <c r="B464" s="2">
        <f>IF(A464="","",IFERROR(INDEX('판매구성'!$B$2:$B$501,MATCH(A464,'판매구성'!$A$2:$A$501,0)),""))</f>
        <v/>
      </c>
      <c r="C464" s="4">
        <f>IF(A464="","",IFERROR(INDEX('판매구성'!$D$2:$D$501,MATCH(A464,'판매구성'!$A$2:$A$501,0)),""))</f>
        <v/>
      </c>
      <c r="D464" s="6" t="n"/>
      <c r="E464" s="6" t="n"/>
      <c r="F464" s="6" t="n"/>
      <c r="G464" s="6" t="n"/>
      <c r="H464" s="6" t="n"/>
      <c r="I464" s="6" t="n"/>
      <c r="J464" s="6" t="n"/>
      <c r="K464" s="6" t="n"/>
    </row>
    <row r="465">
      <c r="B465" s="2">
        <f>IF(A465="","",IFERROR(INDEX('판매구성'!$B$2:$B$501,MATCH(A465,'판매구성'!$A$2:$A$501,0)),""))</f>
        <v/>
      </c>
      <c r="C465" s="4">
        <f>IF(A465="","",IFERROR(INDEX('판매구성'!$D$2:$D$501,MATCH(A465,'판매구성'!$A$2:$A$501,0)),""))</f>
        <v/>
      </c>
      <c r="D465" s="6" t="n"/>
      <c r="E465" s="6" t="n"/>
      <c r="F465" s="6" t="n"/>
      <c r="G465" s="6" t="n"/>
      <c r="H465" s="6" t="n"/>
      <c r="I465" s="6" t="n"/>
      <c r="J465" s="6" t="n"/>
      <c r="K465" s="6" t="n"/>
    </row>
    <row r="466">
      <c r="B466" s="2">
        <f>IF(A466="","",IFERROR(INDEX('판매구성'!$B$2:$B$501,MATCH(A466,'판매구성'!$A$2:$A$501,0)),""))</f>
        <v/>
      </c>
      <c r="C466" s="4">
        <f>IF(A466="","",IFERROR(INDEX('판매구성'!$D$2:$D$501,MATCH(A466,'판매구성'!$A$2:$A$501,0)),""))</f>
        <v/>
      </c>
      <c r="D466" s="6" t="n"/>
      <c r="E466" s="6" t="n"/>
      <c r="F466" s="6" t="n"/>
      <c r="G466" s="6" t="n"/>
      <c r="H466" s="6" t="n"/>
      <c r="I466" s="6" t="n"/>
      <c r="J466" s="6" t="n"/>
      <c r="K466" s="6" t="n"/>
    </row>
    <row r="467">
      <c r="B467" s="2">
        <f>IF(A467="","",IFERROR(INDEX('판매구성'!$B$2:$B$501,MATCH(A467,'판매구성'!$A$2:$A$501,0)),""))</f>
        <v/>
      </c>
      <c r="C467" s="4">
        <f>IF(A467="","",IFERROR(INDEX('판매구성'!$D$2:$D$501,MATCH(A467,'판매구성'!$A$2:$A$501,0)),""))</f>
        <v/>
      </c>
      <c r="D467" s="6" t="n"/>
      <c r="E467" s="6" t="n"/>
      <c r="F467" s="6" t="n"/>
      <c r="G467" s="6" t="n"/>
      <c r="H467" s="6" t="n"/>
      <c r="I467" s="6" t="n"/>
      <c r="J467" s="6" t="n"/>
      <c r="K467" s="6" t="n"/>
    </row>
    <row r="468">
      <c r="B468" s="2">
        <f>IF(A468="","",IFERROR(INDEX('판매구성'!$B$2:$B$501,MATCH(A468,'판매구성'!$A$2:$A$501,0)),""))</f>
        <v/>
      </c>
      <c r="C468" s="4">
        <f>IF(A468="","",IFERROR(INDEX('판매구성'!$D$2:$D$501,MATCH(A468,'판매구성'!$A$2:$A$501,0)),""))</f>
        <v/>
      </c>
      <c r="D468" s="6" t="n"/>
      <c r="E468" s="6" t="n"/>
      <c r="F468" s="6" t="n"/>
      <c r="G468" s="6" t="n"/>
      <c r="H468" s="6" t="n"/>
      <c r="I468" s="6" t="n"/>
      <c r="J468" s="6" t="n"/>
      <c r="K468" s="6" t="n"/>
    </row>
    <row r="469">
      <c r="B469" s="2">
        <f>IF(A469="","",IFERROR(INDEX('판매구성'!$B$2:$B$501,MATCH(A469,'판매구성'!$A$2:$A$501,0)),""))</f>
        <v/>
      </c>
      <c r="C469" s="4">
        <f>IF(A469="","",IFERROR(INDEX('판매구성'!$D$2:$D$501,MATCH(A469,'판매구성'!$A$2:$A$501,0)),""))</f>
        <v/>
      </c>
      <c r="D469" s="6" t="n"/>
      <c r="E469" s="6" t="n"/>
      <c r="F469" s="6" t="n"/>
      <c r="G469" s="6" t="n"/>
      <c r="H469" s="6" t="n"/>
      <c r="I469" s="6" t="n"/>
      <c r="J469" s="6" t="n"/>
      <c r="K469" s="6" t="n"/>
    </row>
    <row r="470">
      <c r="B470" s="2">
        <f>IF(A470="","",IFERROR(INDEX('판매구성'!$B$2:$B$501,MATCH(A470,'판매구성'!$A$2:$A$501,0)),""))</f>
        <v/>
      </c>
      <c r="C470" s="4">
        <f>IF(A470="","",IFERROR(INDEX('판매구성'!$D$2:$D$501,MATCH(A470,'판매구성'!$A$2:$A$501,0)),""))</f>
        <v/>
      </c>
      <c r="D470" s="6" t="n"/>
      <c r="E470" s="6" t="n"/>
      <c r="F470" s="6" t="n"/>
      <c r="G470" s="6" t="n"/>
      <c r="H470" s="6" t="n"/>
      <c r="I470" s="6" t="n"/>
      <c r="J470" s="6" t="n"/>
      <c r="K470" s="6" t="n"/>
    </row>
    <row r="471">
      <c r="B471" s="2">
        <f>IF(A471="","",IFERROR(INDEX('판매구성'!$B$2:$B$501,MATCH(A471,'판매구성'!$A$2:$A$501,0)),""))</f>
        <v/>
      </c>
      <c r="C471" s="4">
        <f>IF(A471="","",IFERROR(INDEX('판매구성'!$D$2:$D$501,MATCH(A471,'판매구성'!$A$2:$A$501,0)),""))</f>
        <v/>
      </c>
      <c r="D471" s="6" t="n"/>
      <c r="E471" s="6" t="n"/>
      <c r="F471" s="6" t="n"/>
      <c r="G471" s="6" t="n"/>
      <c r="H471" s="6" t="n"/>
      <c r="I471" s="6" t="n"/>
      <c r="J471" s="6" t="n"/>
      <c r="K471" s="6" t="n"/>
    </row>
    <row r="472">
      <c r="B472" s="2">
        <f>IF(A472="","",IFERROR(INDEX('판매구성'!$B$2:$B$501,MATCH(A472,'판매구성'!$A$2:$A$501,0)),""))</f>
        <v/>
      </c>
      <c r="C472" s="4">
        <f>IF(A472="","",IFERROR(INDEX('판매구성'!$D$2:$D$501,MATCH(A472,'판매구성'!$A$2:$A$501,0)),""))</f>
        <v/>
      </c>
      <c r="D472" s="6" t="n"/>
      <c r="E472" s="6" t="n"/>
      <c r="F472" s="6" t="n"/>
      <c r="G472" s="6" t="n"/>
      <c r="H472" s="6" t="n"/>
      <c r="I472" s="6" t="n"/>
      <c r="J472" s="6" t="n"/>
      <c r="K472" s="6" t="n"/>
    </row>
    <row r="473">
      <c r="B473" s="2">
        <f>IF(A473="","",IFERROR(INDEX('판매구성'!$B$2:$B$501,MATCH(A473,'판매구성'!$A$2:$A$501,0)),""))</f>
        <v/>
      </c>
      <c r="C473" s="4">
        <f>IF(A473="","",IFERROR(INDEX('판매구성'!$D$2:$D$501,MATCH(A473,'판매구성'!$A$2:$A$501,0)),""))</f>
        <v/>
      </c>
      <c r="D473" s="6" t="n"/>
      <c r="E473" s="6" t="n"/>
      <c r="F473" s="6" t="n"/>
      <c r="G473" s="6" t="n"/>
      <c r="H473" s="6" t="n"/>
      <c r="I473" s="6" t="n"/>
      <c r="J473" s="6" t="n"/>
      <c r="K473" s="6" t="n"/>
    </row>
    <row r="474">
      <c r="B474" s="2">
        <f>IF(A474="","",IFERROR(INDEX('판매구성'!$B$2:$B$501,MATCH(A474,'판매구성'!$A$2:$A$501,0)),""))</f>
        <v/>
      </c>
      <c r="C474" s="4">
        <f>IF(A474="","",IFERROR(INDEX('판매구성'!$D$2:$D$501,MATCH(A474,'판매구성'!$A$2:$A$501,0)),""))</f>
        <v/>
      </c>
      <c r="D474" s="6" t="n"/>
      <c r="E474" s="6" t="n"/>
      <c r="F474" s="6" t="n"/>
      <c r="G474" s="6" t="n"/>
      <c r="H474" s="6" t="n"/>
      <c r="I474" s="6" t="n"/>
      <c r="J474" s="6" t="n"/>
      <c r="K474" s="6" t="n"/>
    </row>
    <row r="475">
      <c r="B475" s="2">
        <f>IF(A475="","",IFERROR(INDEX('판매구성'!$B$2:$B$501,MATCH(A475,'판매구성'!$A$2:$A$501,0)),""))</f>
        <v/>
      </c>
      <c r="C475" s="4">
        <f>IF(A475="","",IFERROR(INDEX('판매구성'!$D$2:$D$501,MATCH(A475,'판매구성'!$A$2:$A$501,0)),""))</f>
        <v/>
      </c>
      <c r="D475" s="6" t="n"/>
      <c r="E475" s="6" t="n"/>
      <c r="F475" s="6" t="n"/>
      <c r="G475" s="6" t="n"/>
      <c r="H475" s="6" t="n"/>
      <c r="I475" s="6" t="n"/>
      <c r="J475" s="6" t="n"/>
      <c r="K475" s="6" t="n"/>
    </row>
    <row r="476">
      <c r="B476" s="2">
        <f>IF(A476="","",IFERROR(INDEX('판매구성'!$B$2:$B$501,MATCH(A476,'판매구성'!$A$2:$A$501,0)),""))</f>
        <v/>
      </c>
      <c r="C476" s="4">
        <f>IF(A476="","",IFERROR(INDEX('판매구성'!$D$2:$D$501,MATCH(A476,'판매구성'!$A$2:$A$501,0)),""))</f>
        <v/>
      </c>
      <c r="D476" s="6" t="n"/>
      <c r="E476" s="6" t="n"/>
      <c r="F476" s="6" t="n"/>
      <c r="G476" s="6" t="n"/>
      <c r="H476" s="6" t="n"/>
      <c r="I476" s="6" t="n"/>
      <c r="J476" s="6" t="n"/>
      <c r="K476" s="6" t="n"/>
    </row>
    <row r="477">
      <c r="B477" s="2">
        <f>IF(A477="","",IFERROR(INDEX('판매구성'!$B$2:$B$501,MATCH(A477,'판매구성'!$A$2:$A$501,0)),""))</f>
        <v/>
      </c>
      <c r="C477" s="4">
        <f>IF(A477="","",IFERROR(INDEX('판매구성'!$D$2:$D$501,MATCH(A477,'판매구성'!$A$2:$A$501,0)),""))</f>
        <v/>
      </c>
      <c r="D477" s="6" t="n"/>
      <c r="E477" s="6" t="n"/>
      <c r="F477" s="6" t="n"/>
      <c r="G477" s="6" t="n"/>
      <c r="H477" s="6" t="n"/>
      <c r="I477" s="6" t="n"/>
      <c r="J477" s="6" t="n"/>
      <c r="K477" s="6" t="n"/>
    </row>
    <row r="478">
      <c r="B478" s="2">
        <f>IF(A478="","",IFERROR(INDEX('판매구성'!$B$2:$B$501,MATCH(A478,'판매구성'!$A$2:$A$501,0)),""))</f>
        <v/>
      </c>
      <c r="C478" s="4">
        <f>IF(A478="","",IFERROR(INDEX('판매구성'!$D$2:$D$501,MATCH(A478,'판매구성'!$A$2:$A$501,0)),""))</f>
        <v/>
      </c>
      <c r="D478" s="6" t="n"/>
      <c r="E478" s="6" t="n"/>
      <c r="F478" s="6" t="n"/>
      <c r="G478" s="6" t="n"/>
      <c r="H478" s="6" t="n"/>
      <c r="I478" s="6" t="n"/>
      <c r="J478" s="6" t="n"/>
      <c r="K478" s="6" t="n"/>
    </row>
    <row r="479">
      <c r="B479" s="2">
        <f>IF(A479="","",IFERROR(INDEX('판매구성'!$B$2:$B$501,MATCH(A479,'판매구성'!$A$2:$A$501,0)),""))</f>
        <v/>
      </c>
      <c r="C479" s="4">
        <f>IF(A479="","",IFERROR(INDEX('판매구성'!$D$2:$D$501,MATCH(A479,'판매구성'!$A$2:$A$501,0)),""))</f>
        <v/>
      </c>
      <c r="D479" s="6" t="n"/>
      <c r="E479" s="6" t="n"/>
      <c r="F479" s="6" t="n"/>
      <c r="G479" s="6" t="n"/>
      <c r="H479" s="6" t="n"/>
      <c r="I479" s="6" t="n"/>
      <c r="J479" s="6" t="n"/>
      <c r="K479" s="6" t="n"/>
    </row>
    <row r="480">
      <c r="B480" s="2">
        <f>IF(A480="","",IFERROR(INDEX('판매구성'!$B$2:$B$501,MATCH(A480,'판매구성'!$A$2:$A$501,0)),""))</f>
        <v/>
      </c>
      <c r="C480" s="4">
        <f>IF(A480="","",IFERROR(INDEX('판매구성'!$D$2:$D$501,MATCH(A480,'판매구성'!$A$2:$A$501,0)),""))</f>
        <v/>
      </c>
      <c r="D480" s="6" t="n"/>
      <c r="E480" s="6" t="n"/>
      <c r="F480" s="6" t="n"/>
      <c r="G480" s="6" t="n"/>
      <c r="H480" s="6" t="n"/>
      <c r="I480" s="6" t="n"/>
      <c r="J480" s="6" t="n"/>
      <c r="K480" s="6" t="n"/>
    </row>
    <row r="481">
      <c r="B481" s="2">
        <f>IF(A481="","",IFERROR(INDEX('판매구성'!$B$2:$B$501,MATCH(A481,'판매구성'!$A$2:$A$501,0)),""))</f>
        <v/>
      </c>
      <c r="C481" s="4">
        <f>IF(A481="","",IFERROR(INDEX('판매구성'!$D$2:$D$501,MATCH(A481,'판매구성'!$A$2:$A$501,0)),""))</f>
        <v/>
      </c>
      <c r="D481" s="6" t="n"/>
      <c r="E481" s="6" t="n"/>
      <c r="F481" s="6" t="n"/>
      <c r="G481" s="6" t="n"/>
      <c r="H481" s="6" t="n"/>
      <c r="I481" s="6" t="n"/>
      <c r="J481" s="6" t="n"/>
      <c r="K481" s="6" t="n"/>
    </row>
    <row r="482">
      <c r="B482" s="2">
        <f>IF(A482="","",IFERROR(INDEX('판매구성'!$B$2:$B$501,MATCH(A482,'판매구성'!$A$2:$A$501,0)),""))</f>
        <v/>
      </c>
      <c r="C482" s="4">
        <f>IF(A482="","",IFERROR(INDEX('판매구성'!$D$2:$D$501,MATCH(A482,'판매구성'!$A$2:$A$501,0)),""))</f>
        <v/>
      </c>
      <c r="D482" s="6" t="n"/>
      <c r="E482" s="6" t="n"/>
      <c r="F482" s="6" t="n"/>
      <c r="G482" s="6" t="n"/>
      <c r="H482" s="6" t="n"/>
      <c r="I482" s="6" t="n"/>
      <c r="J482" s="6" t="n"/>
      <c r="K482" s="6" t="n"/>
    </row>
    <row r="483">
      <c r="B483" s="2">
        <f>IF(A483="","",IFERROR(INDEX('판매구성'!$B$2:$B$501,MATCH(A483,'판매구성'!$A$2:$A$501,0)),""))</f>
        <v/>
      </c>
      <c r="C483" s="4">
        <f>IF(A483="","",IFERROR(INDEX('판매구성'!$D$2:$D$501,MATCH(A483,'판매구성'!$A$2:$A$501,0)),""))</f>
        <v/>
      </c>
      <c r="D483" s="6" t="n"/>
      <c r="E483" s="6" t="n"/>
      <c r="F483" s="6" t="n"/>
      <c r="G483" s="6" t="n"/>
      <c r="H483" s="6" t="n"/>
      <c r="I483" s="6" t="n"/>
      <c r="J483" s="6" t="n"/>
      <c r="K483" s="6" t="n"/>
    </row>
    <row r="484">
      <c r="B484" s="2">
        <f>IF(A484="","",IFERROR(INDEX('판매구성'!$B$2:$B$501,MATCH(A484,'판매구성'!$A$2:$A$501,0)),""))</f>
        <v/>
      </c>
      <c r="C484" s="4">
        <f>IF(A484="","",IFERROR(INDEX('판매구성'!$D$2:$D$501,MATCH(A484,'판매구성'!$A$2:$A$501,0)),""))</f>
        <v/>
      </c>
      <c r="D484" s="6" t="n"/>
      <c r="E484" s="6" t="n"/>
      <c r="F484" s="6" t="n"/>
      <c r="G484" s="6" t="n"/>
      <c r="H484" s="6" t="n"/>
      <c r="I484" s="6" t="n"/>
      <c r="J484" s="6" t="n"/>
      <c r="K484" s="6" t="n"/>
    </row>
    <row r="485">
      <c r="B485" s="2">
        <f>IF(A485="","",IFERROR(INDEX('판매구성'!$B$2:$B$501,MATCH(A485,'판매구성'!$A$2:$A$501,0)),""))</f>
        <v/>
      </c>
      <c r="C485" s="4">
        <f>IF(A485="","",IFERROR(INDEX('판매구성'!$D$2:$D$501,MATCH(A485,'판매구성'!$A$2:$A$501,0)),""))</f>
        <v/>
      </c>
      <c r="D485" s="6" t="n"/>
      <c r="E485" s="6" t="n"/>
      <c r="F485" s="6" t="n"/>
      <c r="G485" s="6" t="n"/>
      <c r="H485" s="6" t="n"/>
      <c r="I485" s="6" t="n"/>
      <c r="J485" s="6" t="n"/>
      <c r="K485" s="6" t="n"/>
    </row>
    <row r="486">
      <c r="B486" s="2">
        <f>IF(A486="","",IFERROR(INDEX('판매구성'!$B$2:$B$501,MATCH(A486,'판매구성'!$A$2:$A$501,0)),""))</f>
        <v/>
      </c>
      <c r="C486" s="4">
        <f>IF(A486="","",IFERROR(INDEX('판매구성'!$D$2:$D$501,MATCH(A486,'판매구성'!$A$2:$A$501,0)),""))</f>
        <v/>
      </c>
      <c r="D486" s="6" t="n"/>
      <c r="E486" s="6" t="n"/>
      <c r="F486" s="6" t="n"/>
      <c r="G486" s="6" t="n"/>
      <c r="H486" s="6" t="n"/>
      <c r="I486" s="6" t="n"/>
      <c r="J486" s="6" t="n"/>
      <c r="K486" s="6" t="n"/>
    </row>
    <row r="487">
      <c r="B487" s="2">
        <f>IF(A487="","",IFERROR(INDEX('판매구성'!$B$2:$B$501,MATCH(A487,'판매구성'!$A$2:$A$501,0)),""))</f>
        <v/>
      </c>
      <c r="C487" s="4">
        <f>IF(A487="","",IFERROR(INDEX('판매구성'!$D$2:$D$501,MATCH(A487,'판매구성'!$A$2:$A$501,0)),""))</f>
        <v/>
      </c>
      <c r="D487" s="6" t="n"/>
      <c r="E487" s="6" t="n"/>
      <c r="F487" s="6" t="n"/>
      <c r="G487" s="6" t="n"/>
      <c r="H487" s="6" t="n"/>
      <c r="I487" s="6" t="n"/>
      <c r="J487" s="6" t="n"/>
      <c r="K487" s="6" t="n"/>
    </row>
    <row r="488">
      <c r="B488" s="2">
        <f>IF(A488="","",IFERROR(INDEX('판매구성'!$B$2:$B$501,MATCH(A488,'판매구성'!$A$2:$A$501,0)),""))</f>
        <v/>
      </c>
      <c r="C488" s="4">
        <f>IF(A488="","",IFERROR(INDEX('판매구성'!$D$2:$D$501,MATCH(A488,'판매구성'!$A$2:$A$501,0)),""))</f>
        <v/>
      </c>
      <c r="D488" s="6" t="n"/>
      <c r="E488" s="6" t="n"/>
      <c r="F488" s="6" t="n"/>
      <c r="G488" s="6" t="n"/>
      <c r="H488" s="6" t="n"/>
      <c r="I488" s="6" t="n"/>
      <c r="J488" s="6" t="n"/>
      <c r="K488" s="6" t="n"/>
    </row>
    <row r="489">
      <c r="B489" s="2">
        <f>IF(A489="","",IFERROR(INDEX('판매구성'!$B$2:$B$501,MATCH(A489,'판매구성'!$A$2:$A$501,0)),""))</f>
        <v/>
      </c>
      <c r="C489" s="4">
        <f>IF(A489="","",IFERROR(INDEX('판매구성'!$D$2:$D$501,MATCH(A489,'판매구성'!$A$2:$A$501,0)),""))</f>
        <v/>
      </c>
      <c r="D489" s="6" t="n"/>
      <c r="E489" s="6" t="n"/>
      <c r="F489" s="6" t="n"/>
      <c r="G489" s="6" t="n"/>
      <c r="H489" s="6" t="n"/>
      <c r="I489" s="6" t="n"/>
      <c r="J489" s="6" t="n"/>
      <c r="K489" s="6" t="n"/>
    </row>
    <row r="490">
      <c r="B490" s="2">
        <f>IF(A490="","",IFERROR(INDEX('판매구성'!$B$2:$B$501,MATCH(A490,'판매구성'!$A$2:$A$501,0)),""))</f>
        <v/>
      </c>
      <c r="C490" s="4">
        <f>IF(A490="","",IFERROR(INDEX('판매구성'!$D$2:$D$501,MATCH(A490,'판매구성'!$A$2:$A$501,0)),""))</f>
        <v/>
      </c>
      <c r="D490" s="6" t="n"/>
      <c r="E490" s="6" t="n"/>
      <c r="F490" s="6" t="n"/>
      <c r="G490" s="6" t="n"/>
      <c r="H490" s="6" t="n"/>
      <c r="I490" s="6" t="n"/>
      <c r="J490" s="6" t="n"/>
      <c r="K490" s="6" t="n"/>
    </row>
    <row r="491">
      <c r="B491" s="2">
        <f>IF(A491="","",IFERROR(INDEX('판매구성'!$B$2:$B$501,MATCH(A491,'판매구성'!$A$2:$A$501,0)),""))</f>
        <v/>
      </c>
      <c r="C491" s="4">
        <f>IF(A491="","",IFERROR(INDEX('판매구성'!$D$2:$D$501,MATCH(A491,'판매구성'!$A$2:$A$501,0)),""))</f>
        <v/>
      </c>
      <c r="D491" s="6" t="n"/>
      <c r="E491" s="6" t="n"/>
      <c r="F491" s="6" t="n"/>
      <c r="G491" s="6" t="n"/>
      <c r="H491" s="6" t="n"/>
      <c r="I491" s="6" t="n"/>
      <c r="J491" s="6" t="n"/>
      <c r="K491" s="6" t="n"/>
    </row>
    <row r="492">
      <c r="B492" s="2">
        <f>IF(A492="","",IFERROR(INDEX('판매구성'!$B$2:$B$501,MATCH(A492,'판매구성'!$A$2:$A$501,0)),""))</f>
        <v/>
      </c>
      <c r="C492" s="4">
        <f>IF(A492="","",IFERROR(INDEX('판매구성'!$D$2:$D$501,MATCH(A492,'판매구성'!$A$2:$A$501,0)),""))</f>
        <v/>
      </c>
      <c r="D492" s="6" t="n"/>
      <c r="E492" s="6" t="n"/>
      <c r="F492" s="6" t="n"/>
      <c r="G492" s="6" t="n"/>
      <c r="H492" s="6" t="n"/>
      <c r="I492" s="6" t="n"/>
      <c r="J492" s="6" t="n"/>
      <c r="K492" s="6" t="n"/>
    </row>
    <row r="493">
      <c r="B493" s="2">
        <f>IF(A493="","",IFERROR(INDEX('판매구성'!$B$2:$B$501,MATCH(A493,'판매구성'!$A$2:$A$501,0)),""))</f>
        <v/>
      </c>
      <c r="C493" s="4">
        <f>IF(A493="","",IFERROR(INDEX('판매구성'!$D$2:$D$501,MATCH(A493,'판매구성'!$A$2:$A$501,0)),""))</f>
        <v/>
      </c>
      <c r="D493" s="6" t="n"/>
      <c r="E493" s="6" t="n"/>
      <c r="F493" s="6" t="n"/>
      <c r="G493" s="6" t="n"/>
      <c r="H493" s="6" t="n"/>
      <c r="I493" s="6" t="n"/>
      <c r="J493" s="6" t="n"/>
      <c r="K493" s="6" t="n"/>
    </row>
    <row r="494">
      <c r="B494" s="2">
        <f>IF(A494="","",IFERROR(INDEX('판매구성'!$B$2:$B$501,MATCH(A494,'판매구성'!$A$2:$A$501,0)),""))</f>
        <v/>
      </c>
      <c r="C494" s="4">
        <f>IF(A494="","",IFERROR(INDEX('판매구성'!$D$2:$D$501,MATCH(A494,'판매구성'!$A$2:$A$501,0)),""))</f>
        <v/>
      </c>
      <c r="D494" s="6" t="n"/>
      <c r="E494" s="6" t="n"/>
      <c r="F494" s="6" t="n"/>
      <c r="G494" s="6" t="n"/>
      <c r="H494" s="6" t="n"/>
      <c r="I494" s="6" t="n"/>
      <c r="J494" s="6" t="n"/>
      <c r="K494" s="6" t="n"/>
    </row>
    <row r="495">
      <c r="B495" s="2">
        <f>IF(A495="","",IFERROR(INDEX('판매구성'!$B$2:$B$501,MATCH(A495,'판매구성'!$A$2:$A$501,0)),""))</f>
        <v/>
      </c>
      <c r="C495" s="4">
        <f>IF(A495="","",IFERROR(INDEX('판매구성'!$D$2:$D$501,MATCH(A495,'판매구성'!$A$2:$A$501,0)),""))</f>
        <v/>
      </c>
      <c r="D495" s="6" t="n"/>
      <c r="E495" s="6" t="n"/>
      <c r="F495" s="6" t="n"/>
      <c r="G495" s="6" t="n"/>
      <c r="H495" s="6" t="n"/>
      <c r="I495" s="6" t="n"/>
      <c r="J495" s="6" t="n"/>
      <c r="K495" s="6" t="n"/>
    </row>
    <row r="496">
      <c r="B496" s="2">
        <f>IF(A496="","",IFERROR(INDEX('판매구성'!$B$2:$B$501,MATCH(A496,'판매구성'!$A$2:$A$501,0)),""))</f>
        <v/>
      </c>
      <c r="C496" s="4">
        <f>IF(A496="","",IFERROR(INDEX('판매구성'!$D$2:$D$501,MATCH(A496,'판매구성'!$A$2:$A$501,0)),""))</f>
        <v/>
      </c>
      <c r="D496" s="6" t="n"/>
      <c r="E496" s="6" t="n"/>
      <c r="F496" s="6" t="n"/>
      <c r="G496" s="6" t="n"/>
      <c r="H496" s="6" t="n"/>
      <c r="I496" s="6" t="n"/>
      <c r="J496" s="6" t="n"/>
      <c r="K496" s="6" t="n"/>
    </row>
    <row r="497">
      <c r="B497" s="2">
        <f>IF(A497="","",IFERROR(INDEX('판매구성'!$B$2:$B$501,MATCH(A497,'판매구성'!$A$2:$A$501,0)),""))</f>
        <v/>
      </c>
      <c r="C497" s="4">
        <f>IF(A497="","",IFERROR(INDEX('판매구성'!$D$2:$D$501,MATCH(A497,'판매구성'!$A$2:$A$501,0)),""))</f>
        <v/>
      </c>
      <c r="D497" s="6" t="n"/>
      <c r="E497" s="6" t="n"/>
      <c r="F497" s="6" t="n"/>
      <c r="G497" s="6" t="n"/>
      <c r="H497" s="6" t="n"/>
      <c r="I497" s="6" t="n"/>
      <c r="J497" s="6" t="n"/>
      <c r="K497" s="6" t="n"/>
    </row>
    <row r="498">
      <c r="B498" s="2">
        <f>IF(A498="","",IFERROR(INDEX('판매구성'!$B$2:$B$501,MATCH(A498,'판매구성'!$A$2:$A$501,0)),""))</f>
        <v/>
      </c>
      <c r="C498" s="4">
        <f>IF(A498="","",IFERROR(INDEX('판매구성'!$D$2:$D$501,MATCH(A498,'판매구성'!$A$2:$A$501,0)),""))</f>
        <v/>
      </c>
      <c r="D498" s="6" t="n"/>
      <c r="E498" s="6" t="n"/>
      <c r="F498" s="6" t="n"/>
      <c r="G498" s="6" t="n"/>
      <c r="H498" s="6" t="n"/>
      <c r="I498" s="6" t="n"/>
      <c r="J498" s="6" t="n"/>
      <c r="K498" s="6" t="n"/>
    </row>
    <row r="499">
      <c r="B499" s="2">
        <f>IF(A499="","",IFERROR(INDEX('판매구성'!$B$2:$B$501,MATCH(A499,'판매구성'!$A$2:$A$501,0)),""))</f>
        <v/>
      </c>
      <c r="C499" s="4">
        <f>IF(A499="","",IFERROR(INDEX('판매구성'!$D$2:$D$501,MATCH(A499,'판매구성'!$A$2:$A$501,0)),""))</f>
        <v/>
      </c>
      <c r="D499" s="6" t="n"/>
      <c r="E499" s="6" t="n"/>
      <c r="F499" s="6" t="n"/>
      <c r="G499" s="6" t="n"/>
      <c r="H499" s="6" t="n"/>
      <c r="I499" s="6" t="n"/>
      <c r="J499" s="6" t="n"/>
      <c r="K499" s="6" t="n"/>
    </row>
    <row r="500">
      <c r="B500" s="2">
        <f>IF(A500="","",IFERROR(INDEX('판매구성'!$B$2:$B$501,MATCH(A500,'판매구성'!$A$2:$A$501,0)),""))</f>
        <v/>
      </c>
      <c r="C500" s="4">
        <f>IF(A500="","",IFERROR(INDEX('판매구성'!$D$2:$D$501,MATCH(A500,'판매구성'!$A$2:$A$501,0)),""))</f>
        <v/>
      </c>
      <c r="D500" s="6" t="n"/>
      <c r="E500" s="6" t="n"/>
      <c r="F500" s="6" t="n"/>
      <c r="G500" s="6" t="n"/>
      <c r="H500" s="6" t="n"/>
      <c r="I500" s="6" t="n"/>
      <c r="J500" s="6" t="n"/>
      <c r="K500" s="6" t="n"/>
    </row>
    <row r="501">
      <c r="B501" s="2">
        <f>IF(A501="","",IFERROR(INDEX('판매구성'!$B$2:$B$501,MATCH(A501,'판매구성'!$A$2:$A$501,0)),""))</f>
        <v/>
      </c>
      <c r="C501" s="4">
        <f>IF(A501="","",IFERROR(INDEX('판매구성'!$D$2:$D$501,MATCH(A501,'판매구성'!$A$2:$A$501,0)),""))</f>
        <v/>
      </c>
      <c r="D501" s="6" t="n"/>
      <c r="E501" s="6" t="n"/>
      <c r="F501" s="6" t="n"/>
      <c r="G501" s="6" t="n"/>
      <c r="H501" s="6" t="n"/>
      <c r="I501" s="6" t="n"/>
      <c r="J501" s="6" t="n"/>
      <c r="K501" s="6" t="n"/>
    </row>
  </sheetData>
  <autoFilter ref="A1:K501"/>
  <conditionalFormatting sqref="A2:A501">
    <cfRule type="expression" priority="1" dxfId="0">
      <formula>AND($A2&lt;&gt;"",COUNTIF($A$2:$A$501,$A2)&gt;1)</formula>
    </cfRule>
  </conditionalFormatting>
  <conditionalFormatting sqref="D2:K501">
    <cfRule type="expression" priority="2" dxfId="0">
      <formula>AND(D2&lt;&gt;"",$C2&lt;&gt;"",D2&lt;$C2)</formula>
    </cfRule>
  </conditionalFormatting>
  <dataValidations count="1">
    <dataValidation sqref="A2:A501" showDropDown="0" showInputMessage="0" showErrorMessage="1" allowBlank="1" errorTitle="입력 오류" error="목록에 있는 값만 선택할 수 있습니다." type="list">
      <formula1>='판매구성'!$A$2:$A$501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16" customWidth="1" min="3" max="3"/>
    <col width="12" customWidth="1" min="4" max="4"/>
    <col width="10" customWidth="1" min="5" max="5"/>
    <col width="10" customWidth="1" min="6" max="6"/>
  </cols>
  <sheetData>
    <row r="1" ht="24" customHeight="1">
      <c r="A1" s="1" t="inlineStr">
        <is>
          <t>구성코드</t>
        </is>
      </c>
      <c r="B1" s="1" t="inlineStr">
        <is>
          <t>구성명</t>
        </is>
      </c>
      <c r="C1" s="1" t="inlineStr">
        <is>
          <t>사방넷코드</t>
        </is>
      </c>
      <c r="D1" s="1" t="inlineStr">
        <is>
          <t>구성원가</t>
        </is>
      </c>
      <c r="E1" s="1" t="inlineStr">
        <is>
          <t>구성품수</t>
        </is>
      </c>
      <c r="F1" s="1" t="inlineStr">
        <is>
          <t>상태</t>
        </is>
      </c>
    </row>
    <row r="2">
      <c r="A2" s="3" t="n"/>
      <c r="C2" s="3" t="n"/>
      <c r="D2" s="4">
        <f>IF(A2="","",SUMIFS('구성품'!$F$2:$F$501,'구성품'!$A$2:$A$501,A2))</f>
        <v/>
      </c>
      <c r="E2" s="2">
        <f>IF(A2="","",COUNTIF('구성품'!$A$2:$A$501,A2))</f>
        <v/>
      </c>
    </row>
    <row r="3">
      <c r="A3" s="3" t="n"/>
      <c r="C3" s="3" t="n"/>
      <c r="D3" s="4">
        <f>IF(A3="","",SUMIFS('구성품'!$F$2:$F$501,'구성품'!$A$2:$A$501,A3))</f>
        <v/>
      </c>
      <c r="E3" s="2">
        <f>IF(A3="","",COUNTIF('구성품'!$A$2:$A$501,A3))</f>
        <v/>
      </c>
    </row>
    <row r="4">
      <c r="A4" s="3" t="n"/>
      <c r="C4" s="3" t="n"/>
      <c r="D4" s="4">
        <f>IF(A4="","",SUMIFS('구성품'!$F$2:$F$501,'구성품'!$A$2:$A$501,A4))</f>
        <v/>
      </c>
      <c r="E4" s="2">
        <f>IF(A4="","",COUNTIF('구성품'!$A$2:$A$501,A4))</f>
        <v/>
      </c>
    </row>
    <row r="5">
      <c r="A5" s="3" t="n"/>
      <c r="C5" s="3" t="n"/>
      <c r="D5" s="4">
        <f>IF(A5="","",SUMIFS('구성품'!$F$2:$F$501,'구성품'!$A$2:$A$501,A5))</f>
        <v/>
      </c>
      <c r="E5" s="2">
        <f>IF(A5="","",COUNTIF('구성품'!$A$2:$A$501,A5))</f>
        <v/>
      </c>
    </row>
    <row r="6">
      <c r="A6" s="3" t="n"/>
      <c r="C6" s="3" t="n"/>
      <c r="D6" s="4">
        <f>IF(A6="","",SUMIFS('구성품'!$F$2:$F$501,'구성품'!$A$2:$A$501,A6))</f>
        <v/>
      </c>
      <c r="E6" s="2">
        <f>IF(A6="","",COUNTIF('구성품'!$A$2:$A$501,A6))</f>
        <v/>
      </c>
    </row>
    <row r="7">
      <c r="A7" s="3" t="n"/>
      <c r="C7" s="3" t="n"/>
      <c r="D7" s="4">
        <f>IF(A7="","",SUMIFS('구성품'!$F$2:$F$501,'구성품'!$A$2:$A$501,A7))</f>
        <v/>
      </c>
      <c r="E7" s="2">
        <f>IF(A7="","",COUNTIF('구성품'!$A$2:$A$501,A7))</f>
        <v/>
      </c>
    </row>
    <row r="8">
      <c r="A8" s="3" t="n"/>
      <c r="C8" s="3" t="n"/>
      <c r="D8" s="4">
        <f>IF(A8="","",SUMIFS('구성품'!$F$2:$F$501,'구성품'!$A$2:$A$501,A8))</f>
        <v/>
      </c>
      <c r="E8" s="2">
        <f>IF(A8="","",COUNTIF('구성품'!$A$2:$A$501,A8))</f>
        <v/>
      </c>
    </row>
    <row r="9">
      <c r="A9" s="3" t="n"/>
      <c r="C9" s="3" t="n"/>
      <c r="D9" s="4">
        <f>IF(A9="","",SUMIFS('구성품'!$F$2:$F$501,'구성품'!$A$2:$A$501,A9))</f>
        <v/>
      </c>
      <c r="E9" s="2">
        <f>IF(A9="","",COUNTIF('구성품'!$A$2:$A$501,A9))</f>
        <v/>
      </c>
    </row>
    <row r="10">
      <c r="A10" s="3" t="n"/>
      <c r="C10" s="3" t="n"/>
      <c r="D10" s="4">
        <f>IF(A10="","",SUMIFS('구성품'!$F$2:$F$501,'구성품'!$A$2:$A$501,A10))</f>
        <v/>
      </c>
      <c r="E10" s="2">
        <f>IF(A10="","",COUNTIF('구성품'!$A$2:$A$501,A10))</f>
        <v/>
      </c>
    </row>
    <row r="11">
      <c r="A11" s="3" t="n"/>
      <c r="C11" s="3" t="n"/>
      <c r="D11" s="4">
        <f>IF(A11="","",SUMIFS('구성품'!$F$2:$F$501,'구성품'!$A$2:$A$501,A11))</f>
        <v/>
      </c>
      <c r="E11" s="2">
        <f>IF(A11="","",COUNTIF('구성품'!$A$2:$A$501,A11))</f>
        <v/>
      </c>
    </row>
    <row r="12">
      <c r="A12" s="3" t="n"/>
      <c r="C12" s="3" t="n"/>
      <c r="D12" s="4">
        <f>IF(A12="","",SUMIFS('구성품'!$F$2:$F$501,'구성품'!$A$2:$A$501,A12))</f>
        <v/>
      </c>
      <c r="E12" s="2">
        <f>IF(A12="","",COUNTIF('구성품'!$A$2:$A$501,A12))</f>
        <v/>
      </c>
    </row>
    <row r="13">
      <c r="A13" s="3" t="n"/>
      <c r="C13" s="3" t="n"/>
      <c r="D13" s="4">
        <f>IF(A13="","",SUMIFS('구성품'!$F$2:$F$501,'구성품'!$A$2:$A$501,A13))</f>
        <v/>
      </c>
      <c r="E13" s="2">
        <f>IF(A13="","",COUNTIF('구성품'!$A$2:$A$501,A13))</f>
        <v/>
      </c>
    </row>
    <row r="14">
      <c r="A14" s="3" t="n"/>
      <c r="C14" s="3" t="n"/>
      <c r="D14" s="4">
        <f>IF(A14="","",SUMIFS('구성품'!$F$2:$F$501,'구성품'!$A$2:$A$501,A14))</f>
        <v/>
      </c>
      <c r="E14" s="2">
        <f>IF(A14="","",COUNTIF('구성품'!$A$2:$A$501,A14))</f>
        <v/>
      </c>
    </row>
    <row r="15">
      <c r="A15" s="3" t="n"/>
      <c r="C15" s="3" t="n"/>
      <c r="D15" s="4">
        <f>IF(A15="","",SUMIFS('구성품'!$F$2:$F$501,'구성품'!$A$2:$A$501,A15))</f>
        <v/>
      </c>
      <c r="E15" s="2">
        <f>IF(A15="","",COUNTIF('구성품'!$A$2:$A$501,A15))</f>
        <v/>
      </c>
    </row>
    <row r="16">
      <c r="A16" s="3" t="n"/>
      <c r="C16" s="3" t="n"/>
      <c r="D16" s="4">
        <f>IF(A16="","",SUMIFS('구성품'!$F$2:$F$501,'구성품'!$A$2:$A$501,A16))</f>
        <v/>
      </c>
      <c r="E16" s="2">
        <f>IF(A16="","",COUNTIF('구성품'!$A$2:$A$501,A16))</f>
        <v/>
      </c>
    </row>
    <row r="17">
      <c r="A17" s="3" t="n"/>
      <c r="C17" s="3" t="n"/>
      <c r="D17" s="4">
        <f>IF(A17="","",SUMIFS('구성품'!$F$2:$F$501,'구성품'!$A$2:$A$501,A17))</f>
        <v/>
      </c>
      <c r="E17" s="2">
        <f>IF(A17="","",COUNTIF('구성품'!$A$2:$A$501,A17))</f>
        <v/>
      </c>
    </row>
    <row r="18">
      <c r="A18" s="3" t="n"/>
      <c r="C18" s="3" t="n"/>
      <c r="D18" s="4">
        <f>IF(A18="","",SUMIFS('구성품'!$F$2:$F$501,'구성품'!$A$2:$A$501,A18))</f>
        <v/>
      </c>
      <c r="E18" s="2">
        <f>IF(A18="","",COUNTIF('구성품'!$A$2:$A$501,A18))</f>
        <v/>
      </c>
    </row>
    <row r="19">
      <c r="A19" s="3" t="n"/>
      <c r="C19" s="3" t="n"/>
      <c r="D19" s="4">
        <f>IF(A19="","",SUMIFS('구성품'!$F$2:$F$501,'구성품'!$A$2:$A$501,A19))</f>
        <v/>
      </c>
      <c r="E19" s="2">
        <f>IF(A19="","",COUNTIF('구성품'!$A$2:$A$501,A19))</f>
        <v/>
      </c>
    </row>
    <row r="20">
      <c r="A20" s="3" t="n"/>
      <c r="C20" s="3" t="n"/>
      <c r="D20" s="4">
        <f>IF(A20="","",SUMIFS('구성품'!$F$2:$F$501,'구성품'!$A$2:$A$501,A20))</f>
        <v/>
      </c>
      <c r="E20" s="2">
        <f>IF(A20="","",COUNTIF('구성품'!$A$2:$A$501,A20))</f>
        <v/>
      </c>
    </row>
    <row r="21">
      <c r="A21" s="3" t="n"/>
      <c r="C21" s="3" t="n"/>
      <c r="D21" s="4">
        <f>IF(A21="","",SUMIFS('구성품'!$F$2:$F$501,'구성품'!$A$2:$A$501,A21))</f>
        <v/>
      </c>
      <c r="E21" s="2">
        <f>IF(A21="","",COUNTIF('구성품'!$A$2:$A$501,A21))</f>
        <v/>
      </c>
    </row>
    <row r="22">
      <c r="A22" s="3" t="n"/>
      <c r="C22" s="3" t="n"/>
      <c r="D22" s="4">
        <f>IF(A22="","",SUMIFS('구성품'!$F$2:$F$501,'구성품'!$A$2:$A$501,A22))</f>
        <v/>
      </c>
      <c r="E22" s="2">
        <f>IF(A22="","",COUNTIF('구성품'!$A$2:$A$501,A22))</f>
        <v/>
      </c>
    </row>
    <row r="23">
      <c r="A23" s="3" t="n"/>
      <c r="C23" s="3" t="n"/>
      <c r="D23" s="4">
        <f>IF(A23="","",SUMIFS('구성품'!$F$2:$F$501,'구성품'!$A$2:$A$501,A23))</f>
        <v/>
      </c>
      <c r="E23" s="2">
        <f>IF(A23="","",COUNTIF('구성품'!$A$2:$A$501,A23))</f>
        <v/>
      </c>
    </row>
    <row r="24">
      <c r="A24" s="3" t="n"/>
      <c r="C24" s="3" t="n"/>
      <c r="D24" s="4">
        <f>IF(A24="","",SUMIFS('구성품'!$F$2:$F$501,'구성품'!$A$2:$A$501,A24))</f>
        <v/>
      </c>
      <c r="E24" s="2">
        <f>IF(A24="","",COUNTIF('구성품'!$A$2:$A$501,A24))</f>
        <v/>
      </c>
    </row>
    <row r="25">
      <c r="A25" s="3" t="n"/>
      <c r="C25" s="3" t="n"/>
      <c r="D25" s="4">
        <f>IF(A25="","",SUMIFS('구성품'!$F$2:$F$501,'구성품'!$A$2:$A$501,A25))</f>
        <v/>
      </c>
      <c r="E25" s="2">
        <f>IF(A25="","",COUNTIF('구성품'!$A$2:$A$501,A25))</f>
        <v/>
      </c>
    </row>
    <row r="26">
      <c r="A26" s="3" t="n"/>
      <c r="C26" s="3" t="n"/>
      <c r="D26" s="4">
        <f>IF(A26="","",SUMIFS('구성품'!$F$2:$F$501,'구성품'!$A$2:$A$501,A26))</f>
        <v/>
      </c>
      <c r="E26" s="2">
        <f>IF(A26="","",COUNTIF('구성품'!$A$2:$A$501,A26))</f>
        <v/>
      </c>
    </row>
    <row r="27">
      <c r="A27" s="3" t="n"/>
      <c r="C27" s="3" t="n"/>
      <c r="D27" s="4">
        <f>IF(A27="","",SUMIFS('구성품'!$F$2:$F$501,'구성품'!$A$2:$A$501,A27))</f>
        <v/>
      </c>
      <c r="E27" s="2">
        <f>IF(A27="","",COUNTIF('구성품'!$A$2:$A$501,A27))</f>
        <v/>
      </c>
    </row>
    <row r="28">
      <c r="A28" s="3" t="n"/>
      <c r="C28" s="3" t="n"/>
      <c r="D28" s="4">
        <f>IF(A28="","",SUMIFS('구성품'!$F$2:$F$501,'구성품'!$A$2:$A$501,A28))</f>
        <v/>
      </c>
      <c r="E28" s="2">
        <f>IF(A28="","",COUNTIF('구성품'!$A$2:$A$501,A28))</f>
        <v/>
      </c>
    </row>
    <row r="29">
      <c r="A29" s="3" t="n"/>
      <c r="C29" s="3" t="n"/>
      <c r="D29" s="4">
        <f>IF(A29="","",SUMIFS('구성품'!$F$2:$F$501,'구성품'!$A$2:$A$501,A29))</f>
        <v/>
      </c>
      <c r="E29" s="2">
        <f>IF(A29="","",COUNTIF('구성품'!$A$2:$A$501,A29))</f>
        <v/>
      </c>
    </row>
    <row r="30">
      <c r="A30" s="3" t="n"/>
      <c r="C30" s="3" t="n"/>
      <c r="D30" s="4">
        <f>IF(A30="","",SUMIFS('구성품'!$F$2:$F$501,'구성품'!$A$2:$A$501,A30))</f>
        <v/>
      </c>
      <c r="E30" s="2">
        <f>IF(A30="","",COUNTIF('구성품'!$A$2:$A$501,A30))</f>
        <v/>
      </c>
    </row>
    <row r="31">
      <c r="A31" s="3" t="n"/>
      <c r="C31" s="3" t="n"/>
      <c r="D31" s="4">
        <f>IF(A31="","",SUMIFS('구성품'!$F$2:$F$501,'구성품'!$A$2:$A$501,A31))</f>
        <v/>
      </c>
      <c r="E31" s="2">
        <f>IF(A31="","",COUNTIF('구성품'!$A$2:$A$501,A31))</f>
        <v/>
      </c>
    </row>
    <row r="32">
      <c r="A32" s="3" t="n"/>
      <c r="C32" s="3" t="n"/>
      <c r="D32" s="4">
        <f>IF(A32="","",SUMIFS('구성품'!$F$2:$F$501,'구성품'!$A$2:$A$501,A32))</f>
        <v/>
      </c>
      <c r="E32" s="2">
        <f>IF(A32="","",COUNTIF('구성품'!$A$2:$A$501,A32))</f>
        <v/>
      </c>
    </row>
    <row r="33">
      <c r="A33" s="3" t="n"/>
      <c r="C33" s="3" t="n"/>
      <c r="D33" s="4">
        <f>IF(A33="","",SUMIFS('구성품'!$F$2:$F$501,'구성품'!$A$2:$A$501,A33))</f>
        <v/>
      </c>
      <c r="E33" s="2">
        <f>IF(A33="","",COUNTIF('구성품'!$A$2:$A$501,A33))</f>
        <v/>
      </c>
    </row>
    <row r="34">
      <c r="A34" s="3" t="n"/>
      <c r="C34" s="3" t="n"/>
      <c r="D34" s="4">
        <f>IF(A34="","",SUMIFS('구성품'!$F$2:$F$501,'구성품'!$A$2:$A$501,A34))</f>
        <v/>
      </c>
      <c r="E34" s="2">
        <f>IF(A34="","",COUNTIF('구성품'!$A$2:$A$501,A34))</f>
        <v/>
      </c>
    </row>
    <row r="35">
      <c r="A35" s="3" t="n"/>
      <c r="C35" s="3" t="n"/>
      <c r="D35" s="4">
        <f>IF(A35="","",SUMIFS('구성품'!$F$2:$F$501,'구성품'!$A$2:$A$501,A35))</f>
        <v/>
      </c>
      <c r="E35" s="2">
        <f>IF(A35="","",COUNTIF('구성품'!$A$2:$A$501,A35))</f>
        <v/>
      </c>
    </row>
    <row r="36">
      <c r="A36" s="3" t="n"/>
      <c r="C36" s="3" t="n"/>
      <c r="D36" s="4">
        <f>IF(A36="","",SUMIFS('구성품'!$F$2:$F$501,'구성품'!$A$2:$A$501,A36))</f>
        <v/>
      </c>
      <c r="E36" s="2">
        <f>IF(A36="","",COUNTIF('구성품'!$A$2:$A$501,A36))</f>
        <v/>
      </c>
    </row>
    <row r="37">
      <c r="A37" s="3" t="n"/>
      <c r="C37" s="3" t="n"/>
      <c r="D37" s="4">
        <f>IF(A37="","",SUMIFS('구성품'!$F$2:$F$501,'구성품'!$A$2:$A$501,A37))</f>
        <v/>
      </c>
      <c r="E37" s="2">
        <f>IF(A37="","",COUNTIF('구성품'!$A$2:$A$501,A37))</f>
        <v/>
      </c>
    </row>
    <row r="38">
      <c r="A38" s="3" t="n"/>
      <c r="C38" s="3" t="n"/>
      <c r="D38" s="4">
        <f>IF(A38="","",SUMIFS('구성품'!$F$2:$F$501,'구성품'!$A$2:$A$501,A38))</f>
        <v/>
      </c>
      <c r="E38" s="2">
        <f>IF(A38="","",COUNTIF('구성품'!$A$2:$A$501,A38))</f>
        <v/>
      </c>
    </row>
    <row r="39">
      <c r="A39" s="3" t="n"/>
      <c r="C39" s="3" t="n"/>
      <c r="D39" s="4">
        <f>IF(A39="","",SUMIFS('구성품'!$F$2:$F$501,'구성품'!$A$2:$A$501,A39))</f>
        <v/>
      </c>
      <c r="E39" s="2">
        <f>IF(A39="","",COUNTIF('구성품'!$A$2:$A$501,A39))</f>
        <v/>
      </c>
    </row>
    <row r="40">
      <c r="A40" s="3" t="n"/>
      <c r="C40" s="3" t="n"/>
      <c r="D40" s="4">
        <f>IF(A40="","",SUMIFS('구성품'!$F$2:$F$501,'구성품'!$A$2:$A$501,A40))</f>
        <v/>
      </c>
      <c r="E40" s="2">
        <f>IF(A40="","",COUNTIF('구성품'!$A$2:$A$501,A40))</f>
        <v/>
      </c>
    </row>
    <row r="41">
      <c r="A41" s="3" t="n"/>
      <c r="C41" s="3" t="n"/>
      <c r="D41" s="4">
        <f>IF(A41="","",SUMIFS('구성품'!$F$2:$F$501,'구성품'!$A$2:$A$501,A41))</f>
        <v/>
      </c>
      <c r="E41" s="2">
        <f>IF(A41="","",COUNTIF('구성품'!$A$2:$A$501,A41))</f>
        <v/>
      </c>
    </row>
    <row r="42">
      <c r="A42" s="3" t="n"/>
      <c r="C42" s="3" t="n"/>
      <c r="D42" s="4">
        <f>IF(A42="","",SUMIFS('구성품'!$F$2:$F$501,'구성품'!$A$2:$A$501,A42))</f>
        <v/>
      </c>
      <c r="E42" s="2">
        <f>IF(A42="","",COUNTIF('구성품'!$A$2:$A$501,A42))</f>
        <v/>
      </c>
    </row>
    <row r="43">
      <c r="A43" s="3" t="n"/>
      <c r="C43" s="3" t="n"/>
      <c r="D43" s="4">
        <f>IF(A43="","",SUMIFS('구성품'!$F$2:$F$501,'구성품'!$A$2:$A$501,A43))</f>
        <v/>
      </c>
      <c r="E43" s="2">
        <f>IF(A43="","",COUNTIF('구성품'!$A$2:$A$501,A43))</f>
        <v/>
      </c>
    </row>
    <row r="44">
      <c r="A44" s="3" t="n"/>
      <c r="C44" s="3" t="n"/>
      <c r="D44" s="4">
        <f>IF(A44="","",SUMIFS('구성품'!$F$2:$F$501,'구성품'!$A$2:$A$501,A44))</f>
        <v/>
      </c>
      <c r="E44" s="2">
        <f>IF(A44="","",COUNTIF('구성품'!$A$2:$A$501,A44))</f>
        <v/>
      </c>
    </row>
    <row r="45">
      <c r="A45" s="3" t="n"/>
      <c r="C45" s="3" t="n"/>
      <c r="D45" s="4">
        <f>IF(A45="","",SUMIFS('구성품'!$F$2:$F$501,'구성품'!$A$2:$A$501,A45))</f>
        <v/>
      </c>
      <c r="E45" s="2">
        <f>IF(A45="","",COUNTIF('구성품'!$A$2:$A$501,A45))</f>
        <v/>
      </c>
    </row>
    <row r="46">
      <c r="A46" s="3" t="n"/>
      <c r="C46" s="3" t="n"/>
      <c r="D46" s="4">
        <f>IF(A46="","",SUMIFS('구성품'!$F$2:$F$501,'구성품'!$A$2:$A$501,A46))</f>
        <v/>
      </c>
      <c r="E46" s="2">
        <f>IF(A46="","",COUNTIF('구성품'!$A$2:$A$501,A46))</f>
        <v/>
      </c>
    </row>
    <row r="47">
      <c r="A47" s="3" t="n"/>
      <c r="C47" s="3" t="n"/>
      <c r="D47" s="4">
        <f>IF(A47="","",SUMIFS('구성품'!$F$2:$F$501,'구성품'!$A$2:$A$501,A47))</f>
        <v/>
      </c>
      <c r="E47" s="2">
        <f>IF(A47="","",COUNTIF('구성품'!$A$2:$A$501,A47))</f>
        <v/>
      </c>
    </row>
    <row r="48">
      <c r="A48" s="3" t="n"/>
      <c r="C48" s="3" t="n"/>
      <c r="D48" s="4">
        <f>IF(A48="","",SUMIFS('구성품'!$F$2:$F$501,'구성품'!$A$2:$A$501,A48))</f>
        <v/>
      </c>
      <c r="E48" s="2">
        <f>IF(A48="","",COUNTIF('구성품'!$A$2:$A$501,A48))</f>
        <v/>
      </c>
    </row>
    <row r="49">
      <c r="A49" s="3" t="n"/>
      <c r="C49" s="3" t="n"/>
      <c r="D49" s="4">
        <f>IF(A49="","",SUMIFS('구성품'!$F$2:$F$501,'구성품'!$A$2:$A$501,A49))</f>
        <v/>
      </c>
      <c r="E49" s="2">
        <f>IF(A49="","",COUNTIF('구성품'!$A$2:$A$501,A49))</f>
        <v/>
      </c>
    </row>
    <row r="50">
      <c r="A50" s="3" t="n"/>
      <c r="C50" s="3" t="n"/>
      <c r="D50" s="4">
        <f>IF(A50="","",SUMIFS('구성품'!$F$2:$F$501,'구성품'!$A$2:$A$501,A50))</f>
        <v/>
      </c>
      <c r="E50" s="2">
        <f>IF(A50="","",COUNTIF('구성품'!$A$2:$A$501,A50))</f>
        <v/>
      </c>
    </row>
    <row r="51">
      <c r="A51" s="3" t="n"/>
      <c r="C51" s="3" t="n"/>
      <c r="D51" s="4">
        <f>IF(A51="","",SUMIFS('구성품'!$F$2:$F$501,'구성품'!$A$2:$A$501,A51))</f>
        <v/>
      </c>
      <c r="E51" s="2">
        <f>IF(A51="","",COUNTIF('구성품'!$A$2:$A$501,A51))</f>
        <v/>
      </c>
    </row>
    <row r="52">
      <c r="A52" s="3" t="n"/>
      <c r="C52" s="3" t="n"/>
      <c r="D52" s="4">
        <f>IF(A52="","",SUMIFS('구성품'!$F$2:$F$501,'구성품'!$A$2:$A$501,A52))</f>
        <v/>
      </c>
      <c r="E52" s="2">
        <f>IF(A52="","",COUNTIF('구성품'!$A$2:$A$501,A52))</f>
        <v/>
      </c>
    </row>
    <row r="53">
      <c r="A53" s="3" t="n"/>
      <c r="C53" s="3" t="n"/>
      <c r="D53" s="4">
        <f>IF(A53="","",SUMIFS('구성품'!$F$2:$F$501,'구성품'!$A$2:$A$501,A53))</f>
        <v/>
      </c>
      <c r="E53" s="2">
        <f>IF(A53="","",COUNTIF('구성품'!$A$2:$A$501,A53))</f>
        <v/>
      </c>
    </row>
    <row r="54">
      <c r="A54" s="3" t="n"/>
      <c r="C54" s="3" t="n"/>
      <c r="D54" s="4">
        <f>IF(A54="","",SUMIFS('구성품'!$F$2:$F$501,'구성품'!$A$2:$A$501,A54))</f>
        <v/>
      </c>
      <c r="E54" s="2">
        <f>IF(A54="","",COUNTIF('구성품'!$A$2:$A$501,A54))</f>
        <v/>
      </c>
    </row>
    <row r="55">
      <c r="A55" s="3" t="n"/>
      <c r="C55" s="3" t="n"/>
      <c r="D55" s="4">
        <f>IF(A55="","",SUMIFS('구성품'!$F$2:$F$501,'구성품'!$A$2:$A$501,A55))</f>
        <v/>
      </c>
      <c r="E55" s="2">
        <f>IF(A55="","",COUNTIF('구성품'!$A$2:$A$501,A55))</f>
        <v/>
      </c>
    </row>
    <row r="56">
      <c r="A56" s="3" t="n"/>
      <c r="C56" s="3" t="n"/>
      <c r="D56" s="4">
        <f>IF(A56="","",SUMIFS('구성품'!$F$2:$F$501,'구성품'!$A$2:$A$501,A56))</f>
        <v/>
      </c>
      <c r="E56" s="2">
        <f>IF(A56="","",COUNTIF('구성품'!$A$2:$A$501,A56))</f>
        <v/>
      </c>
    </row>
    <row r="57">
      <c r="A57" s="3" t="n"/>
      <c r="C57" s="3" t="n"/>
      <c r="D57" s="4">
        <f>IF(A57="","",SUMIFS('구성품'!$F$2:$F$501,'구성품'!$A$2:$A$501,A57))</f>
        <v/>
      </c>
      <c r="E57" s="2">
        <f>IF(A57="","",COUNTIF('구성품'!$A$2:$A$501,A57))</f>
        <v/>
      </c>
    </row>
    <row r="58">
      <c r="A58" s="3" t="n"/>
      <c r="C58" s="3" t="n"/>
      <c r="D58" s="4">
        <f>IF(A58="","",SUMIFS('구성품'!$F$2:$F$501,'구성품'!$A$2:$A$501,A58))</f>
        <v/>
      </c>
      <c r="E58" s="2">
        <f>IF(A58="","",COUNTIF('구성품'!$A$2:$A$501,A58))</f>
        <v/>
      </c>
    </row>
    <row r="59">
      <c r="A59" s="3" t="n"/>
      <c r="C59" s="3" t="n"/>
      <c r="D59" s="4">
        <f>IF(A59="","",SUMIFS('구성품'!$F$2:$F$501,'구성품'!$A$2:$A$501,A59))</f>
        <v/>
      </c>
      <c r="E59" s="2">
        <f>IF(A59="","",COUNTIF('구성품'!$A$2:$A$501,A59))</f>
        <v/>
      </c>
    </row>
    <row r="60">
      <c r="A60" s="3" t="n"/>
      <c r="C60" s="3" t="n"/>
      <c r="D60" s="4">
        <f>IF(A60="","",SUMIFS('구성품'!$F$2:$F$501,'구성품'!$A$2:$A$501,A60))</f>
        <v/>
      </c>
      <c r="E60" s="2">
        <f>IF(A60="","",COUNTIF('구성품'!$A$2:$A$501,A60))</f>
        <v/>
      </c>
    </row>
    <row r="61">
      <c r="A61" s="3" t="n"/>
      <c r="C61" s="3" t="n"/>
      <c r="D61" s="4">
        <f>IF(A61="","",SUMIFS('구성품'!$F$2:$F$501,'구성품'!$A$2:$A$501,A61))</f>
        <v/>
      </c>
      <c r="E61" s="2">
        <f>IF(A61="","",COUNTIF('구성품'!$A$2:$A$501,A61))</f>
        <v/>
      </c>
    </row>
    <row r="62">
      <c r="A62" s="3" t="n"/>
      <c r="C62" s="3" t="n"/>
      <c r="D62" s="4">
        <f>IF(A62="","",SUMIFS('구성품'!$F$2:$F$501,'구성품'!$A$2:$A$501,A62))</f>
        <v/>
      </c>
      <c r="E62" s="2">
        <f>IF(A62="","",COUNTIF('구성품'!$A$2:$A$501,A62))</f>
        <v/>
      </c>
    </row>
    <row r="63">
      <c r="A63" s="3" t="n"/>
      <c r="C63" s="3" t="n"/>
      <c r="D63" s="4">
        <f>IF(A63="","",SUMIFS('구성품'!$F$2:$F$501,'구성품'!$A$2:$A$501,A63))</f>
        <v/>
      </c>
      <c r="E63" s="2">
        <f>IF(A63="","",COUNTIF('구성품'!$A$2:$A$501,A63))</f>
        <v/>
      </c>
    </row>
    <row r="64">
      <c r="A64" s="3" t="n"/>
      <c r="C64" s="3" t="n"/>
      <c r="D64" s="4">
        <f>IF(A64="","",SUMIFS('구성품'!$F$2:$F$501,'구성품'!$A$2:$A$501,A64))</f>
        <v/>
      </c>
      <c r="E64" s="2">
        <f>IF(A64="","",COUNTIF('구성품'!$A$2:$A$501,A64))</f>
        <v/>
      </c>
    </row>
    <row r="65">
      <c r="A65" s="3" t="n"/>
      <c r="C65" s="3" t="n"/>
      <c r="D65" s="4">
        <f>IF(A65="","",SUMIFS('구성품'!$F$2:$F$501,'구성품'!$A$2:$A$501,A65))</f>
        <v/>
      </c>
      <c r="E65" s="2">
        <f>IF(A65="","",COUNTIF('구성품'!$A$2:$A$501,A65))</f>
        <v/>
      </c>
    </row>
    <row r="66">
      <c r="A66" s="3" t="n"/>
      <c r="C66" s="3" t="n"/>
      <c r="D66" s="4">
        <f>IF(A66="","",SUMIFS('구성품'!$F$2:$F$501,'구성품'!$A$2:$A$501,A66))</f>
        <v/>
      </c>
      <c r="E66" s="2">
        <f>IF(A66="","",COUNTIF('구성품'!$A$2:$A$501,A66))</f>
        <v/>
      </c>
    </row>
    <row r="67">
      <c r="A67" s="3" t="n"/>
      <c r="C67" s="3" t="n"/>
      <c r="D67" s="4">
        <f>IF(A67="","",SUMIFS('구성품'!$F$2:$F$501,'구성품'!$A$2:$A$501,A67))</f>
        <v/>
      </c>
      <c r="E67" s="2">
        <f>IF(A67="","",COUNTIF('구성품'!$A$2:$A$501,A67))</f>
        <v/>
      </c>
    </row>
    <row r="68">
      <c r="A68" s="3" t="n"/>
      <c r="C68" s="3" t="n"/>
      <c r="D68" s="4">
        <f>IF(A68="","",SUMIFS('구성품'!$F$2:$F$501,'구성품'!$A$2:$A$501,A68))</f>
        <v/>
      </c>
      <c r="E68" s="2">
        <f>IF(A68="","",COUNTIF('구성품'!$A$2:$A$501,A68))</f>
        <v/>
      </c>
    </row>
    <row r="69">
      <c r="A69" s="3" t="n"/>
      <c r="C69" s="3" t="n"/>
      <c r="D69" s="4">
        <f>IF(A69="","",SUMIFS('구성품'!$F$2:$F$501,'구성품'!$A$2:$A$501,A69))</f>
        <v/>
      </c>
      <c r="E69" s="2">
        <f>IF(A69="","",COUNTIF('구성품'!$A$2:$A$501,A69))</f>
        <v/>
      </c>
    </row>
    <row r="70">
      <c r="A70" s="3" t="n"/>
      <c r="C70" s="3" t="n"/>
      <c r="D70" s="4">
        <f>IF(A70="","",SUMIFS('구성품'!$F$2:$F$501,'구성품'!$A$2:$A$501,A70))</f>
        <v/>
      </c>
      <c r="E70" s="2">
        <f>IF(A70="","",COUNTIF('구성품'!$A$2:$A$501,A70))</f>
        <v/>
      </c>
    </row>
    <row r="71">
      <c r="A71" s="3" t="n"/>
      <c r="C71" s="3" t="n"/>
      <c r="D71" s="4">
        <f>IF(A71="","",SUMIFS('구성품'!$F$2:$F$501,'구성품'!$A$2:$A$501,A71))</f>
        <v/>
      </c>
      <c r="E71" s="2">
        <f>IF(A71="","",COUNTIF('구성품'!$A$2:$A$501,A71))</f>
        <v/>
      </c>
    </row>
    <row r="72">
      <c r="A72" s="3" t="n"/>
      <c r="C72" s="3" t="n"/>
      <c r="D72" s="4">
        <f>IF(A72="","",SUMIFS('구성품'!$F$2:$F$501,'구성품'!$A$2:$A$501,A72))</f>
        <v/>
      </c>
      <c r="E72" s="2">
        <f>IF(A72="","",COUNTIF('구성품'!$A$2:$A$501,A72))</f>
        <v/>
      </c>
    </row>
    <row r="73">
      <c r="A73" s="3" t="n"/>
      <c r="C73" s="3" t="n"/>
      <c r="D73" s="4">
        <f>IF(A73="","",SUMIFS('구성품'!$F$2:$F$501,'구성품'!$A$2:$A$501,A73))</f>
        <v/>
      </c>
      <c r="E73" s="2">
        <f>IF(A73="","",COUNTIF('구성품'!$A$2:$A$501,A73))</f>
        <v/>
      </c>
    </row>
    <row r="74">
      <c r="A74" s="3" t="n"/>
      <c r="C74" s="3" t="n"/>
      <c r="D74" s="4">
        <f>IF(A74="","",SUMIFS('구성품'!$F$2:$F$501,'구성품'!$A$2:$A$501,A74))</f>
        <v/>
      </c>
      <c r="E74" s="2">
        <f>IF(A74="","",COUNTIF('구성품'!$A$2:$A$501,A74))</f>
        <v/>
      </c>
    </row>
    <row r="75">
      <c r="A75" s="3" t="n"/>
      <c r="C75" s="3" t="n"/>
      <c r="D75" s="4">
        <f>IF(A75="","",SUMIFS('구성품'!$F$2:$F$501,'구성품'!$A$2:$A$501,A75))</f>
        <v/>
      </c>
      <c r="E75" s="2">
        <f>IF(A75="","",COUNTIF('구성품'!$A$2:$A$501,A75))</f>
        <v/>
      </c>
    </row>
    <row r="76">
      <c r="A76" s="3" t="n"/>
      <c r="C76" s="3" t="n"/>
      <c r="D76" s="4">
        <f>IF(A76="","",SUMIFS('구성품'!$F$2:$F$501,'구성품'!$A$2:$A$501,A76))</f>
        <v/>
      </c>
      <c r="E76" s="2">
        <f>IF(A76="","",COUNTIF('구성품'!$A$2:$A$501,A76))</f>
        <v/>
      </c>
    </row>
    <row r="77">
      <c r="A77" s="3" t="n"/>
      <c r="C77" s="3" t="n"/>
      <c r="D77" s="4">
        <f>IF(A77="","",SUMIFS('구성품'!$F$2:$F$501,'구성품'!$A$2:$A$501,A77))</f>
        <v/>
      </c>
      <c r="E77" s="2">
        <f>IF(A77="","",COUNTIF('구성품'!$A$2:$A$501,A77))</f>
        <v/>
      </c>
    </row>
    <row r="78">
      <c r="A78" s="3" t="n"/>
      <c r="C78" s="3" t="n"/>
      <c r="D78" s="4">
        <f>IF(A78="","",SUMIFS('구성품'!$F$2:$F$501,'구성품'!$A$2:$A$501,A78))</f>
        <v/>
      </c>
      <c r="E78" s="2">
        <f>IF(A78="","",COUNTIF('구성품'!$A$2:$A$501,A78))</f>
        <v/>
      </c>
    </row>
    <row r="79">
      <c r="A79" s="3" t="n"/>
      <c r="C79" s="3" t="n"/>
      <c r="D79" s="4">
        <f>IF(A79="","",SUMIFS('구성품'!$F$2:$F$501,'구성품'!$A$2:$A$501,A79))</f>
        <v/>
      </c>
      <c r="E79" s="2">
        <f>IF(A79="","",COUNTIF('구성품'!$A$2:$A$501,A79))</f>
        <v/>
      </c>
    </row>
    <row r="80">
      <c r="A80" s="3" t="n"/>
      <c r="C80" s="3" t="n"/>
      <c r="D80" s="4">
        <f>IF(A80="","",SUMIFS('구성품'!$F$2:$F$501,'구성품'!$A$2:$A$501,A80))</f>
        <v/>
      </c>
      <c r="E80" s="2">
        <f>IF(A80="","",COUNTIF('구성품'!$A$2:$A$501,A80))</f>
        <v/>
      </c>
    </row>
    <row r="81">
      <c r="A81" s="3" t="n"/>
      <c r="C81" s="3" t="n"/>
      <c r="D81" s="4">
        <f>IF(A81="","",SUMIFS('구성품'!$F$2:$F$501,'구성품'!$A$2:$A$501,A81))</f>
        <v/>
      </c>
      <c r="E81" s="2">
        <f>IF(A81="","",COUNTIF('구성품'!$A$2:$A$501,A81))</f>
        <v/>
      </c>
    </row>
    <row r="82">
      <c r="A82" s="3" t="n"/>
      <c r="C82" s="3" t="n"/>
      <c r="D82" s="4">
        <f>IF(A82="","",SUMIFS('구성품'!$F$2:$F$501,'구성품'!$A$2:$A$501,A82))</f>
        <v/>
      </c>
      <c r="E82" s="2">
        <f>IF(A82="","",COUNTIF('구성품'!$A$2:$A$501,A82))</f>
        <v/>
      </c>
    </row>
    <row r="83">
      <c r="A83" s="3" t="n"/>
      <c r="C83" s="3" t="n"/>
      <c r="D83" s="4">
        <f>IF(A83="","",SUMIFS('구성품'!$F$2:$F$501,'구성품'!$A$2:$A$501,A83))</f>
        <v/>
      </c>
      <c r="E83" s="2">
        <f>IF(A83="","",COUNTIF('구성품'!$A$2:$A$501,A83))</f>
        <v/>
      </c>
    </row>
    <row r="84">
      <c r="A84" s="3" t="n"/>
      <c r="C84" s="3" t="n"/>
      <c r="D84" s="4">
        <f>IF(A84="","",SUMIFS('구성품'!$F$2:$F$501,'구성품'!$A$2:$A$501,A84))</f>
        <v/>
      </c>
      <c r="E84" s="2">
        <f>IF(A84="","",COUNTIF('구성품'!$A$2:$A$501,A84))</f>
        <v/>
      </c>
    </row>
    <row r="85">
      <c r="A85" s="3" t="n"/>
      <c r="C85" s="3" t="n"/>
      <c r="D85" s="4">
        <f>IF(A85="","",SUMIFS('구성품'!$F$2:$F$501,'구성품'!$A$2:$A$501,A85))</f>
        <v/>
      </c>
      <c r="E85" s="2">
        <f>IF(A85="","",COUNTIF('구성품'!$A$2:$A$501,A85))</f>
        <v/>
      </c>
    </row>
    <row r="86">
      <c r="A86" s="3" t="n"/>
      <c r="C86" s="3" t="n"/>
      <c r="D86" s="4">
        <f>IF(A86="","",SUMIFS('구성품'!$F$2:$F$501,'구성품'!$A$2:$A$501,A86))</f>
        <v/>
      </c>
      <c r="E86" s="2">
        <f>IF(A86="","",COUNTIF('구성품'!$A$2:$A$501,A86))</f>
        <v/>
      </c>
    </row>
    <row r="87">
      <c r="A87" s="3" t="n"/>
      <c r="C87" s="3" t="n"/>
      <c r="D87" s="4">
        <f>IF(A87="","",SUMIFS('구성품'!$F$2:$F$501,'구성품'!$A$2:$A$501,A87))</f>
        <v/>
      </c>
      <c r="E87" s="2">
        <f>IF(A87="","",COUNTIF('구성품'!$A$2:$A$501,A87))</f>
        <v/>
      </c>
    </row>
    <row r="88">
      <c r="A88" s="3" t="n"/>
      <c r="C88" s="3" t="n"/>
      <c r="D88" s="4">
        <f>IF(A88="","",SUMIFS('구성품'!$F$2:$F$501,'구성품'!$A$2:$A$501,A88))</f>
        <v/>
      </c>
      <c r="E88" s="2">
        <f>IF(A88="","",COUNTIF('구성품'!$A$2:$A$501,A88))</f>
        <v/>
      </c>
    </row>
    <row r="89">
      <c r="A89" s="3" t="n"/>
      <c r="C89" s="3" t="n"/>
      <c r="D89" s="4">
        <f>IF(A89="","",SUMIFS('구성품'!$F$2:$F$501,'구성품'!$A$2:$A$501,A89))</f>
        <v/>
      </c>
      <c r="E89" s="2">
        <f>IF(A89="","",COUNTIF('구성품'!$A$2:$A$501,A89))</f>
        <v/>
      </c>
    </row>
    <row r="90">
      <c r="A90" s="3" t="n"/>
      <c r="C90" s="3" t="n"/>
      <c r="D90" s="4">
        <f>IF(A90="","",SUMIFS('구성품'!$F$2:$F$501,'구성품'!$A$2:$A$501,A90))</f>
        <v/>
      </c>
      <c r="E90" s="2">
        <f>IF(A90="","",COUNTIF('구성품'!$A$2:$A$501,A90))</f>
        <v/>
      </c>
    </row>
    <row r="91">
      <c r="A91" s="3" t="n"/>
      <c r="C91" s="3" t="n"/>
      <c r="D91" s="4">
        <f>IF(A91="","",SUMIFS('구성품'!$F$2:$F$501,'구성품'!$A$2:$A$501,A91))</f>
        <v/>
      </c>
      <c r="E91" s="2">
        <f>IF(A91="","",COUNTIF('구성품'!$A$2:$A$501,A91))</f>
        <v/>
      </c>
    </row>
    <row r="92">
      <c r="A92" s="3" t="n"/>
      <c r="C92" s="3" t="n"/>
      <c r="D92" s="4">
        <f>IF(A92="","",SUMIFS('구성품'!$F$2:$F$501,'구성품'!$A$2:$A$501,A92))</f>
        <v/>
      </c>
      <c r="E92" s="2">
        <f>IF(A92="","",COUNTIF('구성품'!$A$2:$A$501,A92))</f>
        <v/>
      </c>
    </row>
    <row r="93">
      <c r="A93" s="3" t="n"/>
      <c r="C93" s="3" t="n"/>
      <c r="D93" s="4">
        <f>IF(A93="","",SUMIFS('구성품'!$F$2:$F$501,'구성품'!$A$2:$A$501,A93))</f>
        <v/>
      </c>
      <c r="E93" s="2">
        <f>IF(A93="","",COUNTIF('구성품'!$A$2:$A$501,A93))</f>
        <v/>
      </c>
    </row>
    <row r="94">
      <c r="A94" s="3" t="n"/>
      <c r="C94" s="3" t="n"/>
      <c r="D94" s="4">
        <f>IF(A94="","",SUMIFS('구성품'!$F$2:$F$501,'구성품'!$A$2:$A$501,A94))</f>
        <v/>
      </c>
      <c r="E94" s="2">
        <f>IF(A94="","",COUNTIF('구성품'!$A$2:$A$501,A94))</f>
        <v/>
      </c>
    </row>
    <row r="95">
      <c r="A95" s="3" t="n"/>
      <c r="C95" s="3" t="n"/>
      <c r="D95" s="4">
        <f>IF(A95="","",SUMIFS('구성품'!$F$2:$F$501,'구성품'!$A$2:$A$501,A95))</f>
        <v/>
      </c>
      <c r="E95" s="2">
        <f>IF(A95="","",COUNTIF('구성품'!$A$2:$A$501,A95))</f>
        <v/>
      </c>
    </row>
    <row r="96">
      <c r="A96" s="3" t="n"/>
      <c r="C96" s="3" t="n"/>
      <c r="D96" s="4">
        <f>IF(A96="","",SUMIFS('구성품'!$F$2:$F$501,'구성품'!$A$2:$A$501,A96))</f>
        <v/>
      </c>
      <c r="E96" s="2">
        <f>IF(A96="","",COUNTIF('구성품'!$A$2:$A$501,A96))</f>
        <v/>
      </c>
    </row>
    <row r="97">
      <c r="A97" s="3" t="n"/>
      <c r="C97" s="3" t="n"/>
      <c r="D97" s="4">
        <f>IF(A97="","",SUMIFS('구성품'!$F$2:$F$501,'구성품'!$A$2:$A$501,A97))</f>
        <v/>
      </c>
      <c r="E97" s="2">
        <f>IF(A97="","",COUNTIF('구성품'!$A$2:$A$501,A97))</f>
        <v/>
      </c>
    </row>
    <row r="98">
      <c r="A98" s="3" t="n"/>
      <c r="C98" s="3" t="n"/>
      <c r="D98" s="4">
        <f>IF(A98="","",SUMIFS('구성품'!$F$2:$F$501,'구성품'!$A$2:$A$501,A98))</f>
        <v/>
      </c>
      <c r="E98" s="2">
        <f>IF(A98="","",COUNTIF('구성품'!$A$2:$A$501,A98))</f>
        <v/>
      </c>
    </row>
    <row r="99">
      <c r="A99" s="3" t="n"/>
      <c r="C99" s="3" t="n"/>
      <c r="D99" s="4">
        <f>IF(A99="","",SUMIFS('구성품'!$F$2:$F$501,'구성품'!$A$2:$A$501,A99))</f>
        <v/>
      </c>
      <c r="E99" s="2">
        <f>IF(A99="","",COUNTIF('구성품'!$A$2:$A$501,A99))</f>
        <v/>
      </c>
    </row>
    <row r="100">
      <c r="A100" s="3" t="n"/>
      <c r="C100" s="3" t="n"/>
      <c r="D100" s="4">
        <f>IF(A100="","",SUMIFS('구성품'!$F$2:$F$501,'구성품'!$A$2:$A$501,A100))</f>
        <v/>
      </c>
      <c r="E100" s="2">
        <f>IF(A100="","",COUNTIF('구성품'!$A$2:$A$501,A100))</f>
        <v/>
      </c>
    </row>
    <row r="101">
      <c r="A101" s="3" t="n"/>
      <c r="C101" s="3" t="n"/>
      <c r="D101" s="4">
        <f>IF(A101="","",SUMIFS('구성품'!$F$2:$F$501,'구성품'!$A$2:$A$501,A101))</f>
        <v/>
      </c>
      <c r="E101" s="2">
        <f>IF(A101="","",COUNTIF('구성품'!$A$2:$A$501,A101))</f>
        <v/>
      </c>
    </row>
    <row r="102">
      <c r="A102" s="3" t="n"/>
      <c r="C102" s="3" t="n"/>
      <c r="D102" s="4">
        <f>IF(A102="","",SUMIFS('구성품'!$F$2:$F$501,'구성품'!$A$2:$A$501,A102))</f>
        <v/>
      </c>
      <c r="E102" s="2">
        <f>IF(A102="","",COUNTIF('구성품'!$A$2:$A$501,A102))</f>
        <v/>
      </c>
    </row>
    <row r="103">
      <c r="A103" s="3" t="n"/>
      <c r="C103" s="3" t="n"/>
      <c r="D103" s="4">
        <f>IF(A103="","",SUMIFS('구성품'!$F$2:$F$501,'구성품'!$A$2:$A$501,A103))</f>
        <v/>
      </c>
      <c r="E103" s="2">
        <f>IF(A103="","",COUNTIF('구성품'!$A$2:$A$501,A103))</f>
        <v/>
      </c>
    </row>
    <row r="104">
      <c r="A104" s="3" t="n"/>
      <c r="C104" s="3" t="n"/>
      <c r="D104" s="4">
        <f>IF(A104="","",SUMIFS('구성품'!$F$2:$F$501,'구성품'!$A$2:$A$501,A104))</f>
        <v/>
      </c>
      <c r="E104" s="2">
        <f>IF(A104="","",COUNTIF('구성품'!$A$2:$A$501,A104))</f>
        <v/>
      </c>
    </row>
    <row r="105">
      <c r="A105" s="3" t="n"/>
      <c r="C105" s="3" t="n"/>
      <c r="D105" s="4">
        <f>IF(A105="","",SUMIFS('구성품'!$F$2:$F$501,'구성품'!$A$2:$A$501,A105))</f>
        <v/>
      </c>
      <c r="E105" s="2">
        <f>IF(A105="","",COUNTIF('구성품'!$A$2:$A$501,A105))</f>
        <v/>
      </c>
    </row>
    <row r="106">
      <c r="A106" s="3" t="n"/>
      <c r="C106" s="3" t="n"/>
      <c r="D106" s="4">
        <f>IF(A106="","",SUMIFS('구성품'!$F$2:$F$501,'구성품'!$A$2:$A$501,A106))</f>
        <v/>
      </c>
      <c r="E106" s="2">
        <f>IF(A106="","",COUNTIF('구성품'!$A$2:$A$501,A106))</f>
        <v/>
      </c>
    </row>
    <row r="107">
      <c r="A107" s="3" t="n"/>
      <c r="C107" s="3" t="n"/>
      <c r="D107" s="4">
        <f>IF(A107="","",SUMIFS('구성품'!$F$2:$F$501,'구성품'!$A$2:$A$501,A107))</f>
        <v/>
      </c>
      <c r="E107" s="2">
        <f>IF(A107="","",COUNTIF('구성품'!$A$2:$A$501,A107))</f>
        <v/>
      </c>
    </row>
    <row r="108">
      <c r="A108" s="3" t="n"/>
      <c r="C108" s="3" t="n"/>
      <c r="D108" s="4">
        <f>IF(A108="","",SUMIFS('구성품'!$F$2:$F$501,'구성품'!$A$2:$A$501,A108))</f>
        <v/>
      </c>
      <c r="E108" s="2">
        <f>IF(A108="","",COUNTIF('구성품'!$A$2:$A$501,A108))</f>
        <v/>
      </c>
    </row>
    <row r="109">
      <c r="A109" s="3" t="n"/>
      <c r="C109" s="3" t="n"/>
      <c r="D109" s="4">
        <f>IF(A109="","",SUMIFS('구성품'!$F$2:$F$501,'구성품'!$A$2:$A$501,A109))</f>
        <v/>
      </c>
      <c r="E109" s="2">
        <f>IF(A109="","",COUNTIF('구성품'!$A$2:$A$501,A109))</f>
        <v/>
      </c>
    </row>
    <row r="110">
      <c r="A110" s="3" t="n"/>
      <c r="C110" s="3" t="n"/>
      <c r="D110" s="4">
        <f>IF(A110="","",SUMIFS('구성품'!$F$2:$F$501,'구성품'!$A$2:$A$501,A110))</f>
        <v/>
      </c>
      <c r="E110" s="2">
        <f>IF(A110="","",COUNTIF('구성품'!$A$2:$A$501,A110))</f>
        <v/>
      </c>
    </row>
    <row r="111">
      <c r="A111" s="3" t="n"/>
      <c r="C111" s="3" t="n"/>
      <c r="D111" s="4">
        <f>IF(A111="","",SUMIFS('구성품'!$F$2:$F$501,'구성품'!$A$2:$A$501,A111))</f>
        <v/>
      </c>
      <c r="E111" s="2">
        <f>IF(A111="","",COUNTIF('구성품'!$A$2:$A$501,A111))</f>
        <v/>
      </c>
    </row>
    <row r="112">
      <c r="A112" s="3" t="n"/>
      <c r="C112" s="3" t="n"/>
      <c r="D112" s="4">
        <f>IF(A112="","",SUMIFS('구성품'!$F$2:$F$501,'구성품'!$A$2:$A$501,A112))</f>
        <v/>
      </c>
      <c r="E112" s="2">
        <f>IF(A112="","",COUNTIF('구성품'!$A$2:$A$501,A112))</f>
        <v/>
      </c>
    </row>
    <row r="113">
      <c r="A113" s="3" t="n"/>
      <c r="C113" s="3" t="n"/>
      <c r="D113" s="4">
        <f>IF(A113="","",SUMIFS('구성품'!$F$2:$F$501,'구성품'!$A$2:$A$501,A113))</f>
        <v/>
      </c>
      <c r="E113" s="2">
        <f>IF(A113="","",COUNTIF('구성품'!$A$2:$A$501,A113))</f>
        <v/>
      </c>
    </row>
    <row r="114">
      <c r="A114" s="3" t="n"/>
      <c r="C114" s="3" t="n"/>
      <c r="D114" s="4">
        <f>IF(A114="","",SUMIFS('구성품'!$F$2:$F$501,'구성품'!$A$2:$A$501,A114))</f>
        <v/>
      </c>
      <c r="E114" s="2">
        <f>IF(A114="","",COUNTIF('구성품'!$A$2:$A$501,A114))</f>
        <v/>
      </c>
    </row>
    <row r="115">
      <c r="A115" s="3" t="n"/>
      <c r="C115" s="3" t="n"/>
      <c r="D115" s="4">
        <f>IF(A115="","",SUMIFS('구성품'!$F$2:$F$501,'구성품'!$A$2:$A$501,A115))</f>
        <v/>
      </c>
      <c r="E115" s="2">
        <f>IF(A115="","",COUNTIF('구성품'!$A$2:$A$501,A115))</f>
        <v/>
      </c>
    </row>
    <row r="116">
      <c r="A116" s="3" t="n"/>
      <c r="C116" s="3" t="n"/>
      <c r="D116" s="4">
        <f>IF(A116="","",SUMIFS('구성품'!$F$2:$F$501,'구성품'!$A$2:$A$501,A116))</f>
        <v/>
      </c>
      <c r="E116" s="2">
        <f>IF(A116="","",COUNTIF('구성품'!$A$2:$A$501,A116))</f>
        <v/>
      </c>
    </row>
    <row r="117">
      <c r="A117" s="3" t="n"/>
      <c r="C117" s="3" t="n"/>
      <c r="D117" s="4">
        <f>IF(A117="","",SUMIFS('구성품'!$F$2:$F$501,'구성품'!$A$2:$A$501,A117))</f>
        <v/>
      </c>
      <c r="E117" s="2">
        <f>IF(A117="","",COUNTIF('구성품'!$A$2:$A$501,A117))</f>
        <v/>
      </c>
    </row>
    <row r="118">
      <c r="A118" s="3" t="n"/>
      <c r="C118" s="3" t="n"/>
      <c r="D118" s="4">
        <f>IF(A118="","",SUMIFS('구성품'!$F$2:$F$501,'구성품'!$A$2:$A$501,A118))</f>
        <v/>
      </c>
      <c r="E118" s="2">
        <f>IF(A118="","",COUNTIF('구성품'!$A$2:$A$501,A118))</f>
        <v/>
      </c>
    </row>
    <row r="119">
      <c r="A119" s="3" t="n"/>
      <c r="C119" s="3" t="n"/>
      <c r="D119" s="4">
        <f>IF(A119="","",SUMIFS('구성품'!$F$2:$F$501,'구성품'!$A$2:$A$501,A119))</f>
        <v/>
      </c>
      <c r="E119" s="2">
        <f>IF(A119="","",COUNTIF('구성품'!$A$2:$A$501,A119))</f>
        <v/>
      </c>
    </row>
    <row r="120">
      <c r="A120" s="3" t="n"/>
      <c r="C120" s="3" t="n"/>
      <c r="D120" s="4">
        <f>IF(A120="","",SUMIFS('구성품'!$F$2:$F$501,'구성품'!$A$2:$A$501,A120))</f>
        <v/>
      </c>
      <c r="E120" s="2">
        <f>IF(A120="","",COUNTIF('구성품'!$A$2:$A$501,A120))</f>
        <v/>
      </c>
    </row>
    <row r="121">
      <c r="A121" s="3" t="n"/>
      <c r="C121" s="3" t="n"/>
      <c r="D121" s="4">
        <f>IF(A121="","",SUMIFS('구성품'!$F$2:$F$501,'구성품'!$A$2:$A$501,A121))</f>
        <v/>
      </c>
      <c r="E121" s="2">
        <f>IF(A121="","",COUNTIF('구성품'!$A$2:$A$501,A121))</f>
        <v/>
      </c>
    </row>
    <row r="122">
      <c r="A122" s="3" t="n"/>
      <c r="C122" s="3" t="n"/>
      <c r="D122" s="4">
        <f>IF(A122="","",SUMIFS('구성품'!$F$2:$F$501,'구성품'!$A$2:$A$501,A122))</f>
        <v/>
      </c>
      <c r="E122" s="2">
        <f>IF(A122="","",COUNTIF('구성품'!$A$2:$A$501,A122))</f>
        <v/>
      </c>
    </row>
    <row r="123">
      <c r="A123" s="3" t="n"/>
      <c r="C123" s="3" t="n"/>
      <c r="D123" s="4">
        <f>IF(A123="","",SUMIFS('구성품'!$F$2:$F$501,'구성품'!$A$2:$A$501,A123))</f>
        <v/>
      </c>
      <c r="E123" s="2">
        <f>IF(A123="","",COUNTIF('구성품'!$A$2:$A$501,A123))</f>
        <v/>
      </c>
    </row>
    <row r="124">
      <c r="A124" s="3" t="n"/>
      <c r="C124" s="3" t="n"/>
      <c r="D124" s="4">
        <f>IF(A124="","",SUMIFS('구성품'!$F$2:$F$501,'구성품'!$A$2:$A$501,A124))</f>
        <v/>
      </c>
      <c r="E124" s="2">
        <f>IF(A124="","",COUNTIF('구성품'!$A$2:$A$501,A124))</f>
        <v/>
      </c>
    </row>
    <row r="125">
      <c r="A125" s="3" t="n"/>
      <c r="C125" s="3" t="n"/>
      <c r="D125" s="4">
        <f>IF(A125="","",SUMIFS('구성품'!$F$2:$F$501,'구성품'!$A$2:$A$501,A125))</f>
        <v/>
      </c>
      <c r="E125" s="2">
        <f>IF(A125="","",COUNTIF('구성품'!$A$2:$A$501,A125))</f>
        <v/>
      </c>
    </row>
    <row r="126">
      <c r="A126" s="3" t="n"/>
      <c r="C126" s="3" t="n"/>
      <c r="D126" s="4">
        <f>IF(A126="","",SUMIFS('구성품'!$F$2:$F$501,'구성품'!$A$2:$A$501,A126))</f>
        <v/>
      </c>
      <c r="E126" s="2">
        <f>IF(A126="","",COUNTIF('구성품'!$A$2:$A$501,A126))</f>
        <v/>
      </c>
    </row>
    <row r="127">
      <c r="A127" s="3" t="n"/>
      <c r="C127" s="3" t="n"/>
      <c r="D127" s="4">
        <f>IF(A127="","",SUMIFS('구성품'!$F$2:$F$501,'구성품'!$A$2:$A$501,A127))</f>
        <v/>
      </c>
      <c r="E127" s="2">
        <f>IF(A127="","",COUNTIF('구성품'!$A$2:$A$501,A127))</f>
        <v/>
      </c>
    </row>
    <row r="128">
      <c r="A128" s="3" t="n"/>
      <c r="C128" s="3" t="n"/>
      <c r="D128" s="4">
        <f>IF(A128="","",SUMIFS('구성품'!$F$2:$F$501,'구성품'!$A$2:$A$501,A128))</f>
        <v/>
      </c>
      <c r="E128" s="2">
        <f>IF(A128="","",COUNTIF('구성품'!$A$2:$A$501,A128))</f>
        <v/>
      </c>
    </row>
    <row r="129">
      <c r="A129" s="3" t="n"/>
      <c r="C129" s="3" t="n"/>
      <c r="D129" s="4">
        <f>IF(A129="","",SUMIFS('구성품'!$F$2:$F$501,'구성품'!$A$2:$A$501,A129))</f>
        <v/>
      </c>
      <c r="E129" s="2">
        <f>IF(A129="","",COUNTIF('구성품'!$A$2:$A$501,A129))</f>
        <v/>
      </c>
    </row>
    <row r="130">
      <c r="A130" s="3" t="n"/>
      <c r="C130" s="3" t="n"/>
      <c r="D130" s="4">
        <f>IF(A130="","",SUMIFS('구성품'!$F$2:$F$501,'구성품'!$A$2:$A$501,A130))</f>
        <v/>
      </c>
      <c r="E130" s="2">
        <f>IF(A130="","",COUNTIF('구성품'!$A$2:$A$501,A130))</f>
        <v/>
      </c>
    </row>
    <row r="131">
      <c r="A131" s="3" t="n"/>
      <c r="C131" s="3" t="n"/>
      <c r="D131" s="4">
        <f>IF(A131="","",SUMIFS('구성품'!$F$2:$F$501,'구성품'!$A$2:$A$501,A131))</f>
        <v/>
      </c>
      <c r="E131" s="2">
        <f>IF(A131="","",COUNTIF('구성품'!$A$2:$A$501,A131))</f>
        <v/>
      </c>
    </row>
    <row r="132">
      <c r="A132" s="3" t="n"/>
      <c r="C132" s="3" t="n"/>
      <c r="D132" s="4">
        <f>IF(A132="","",SUMIFS('구성품'!$F$2:$F$501,'구성품'!$A$2:$A$501,A132))</f>
        <v/>
      </c>
      <c r="E132" s="2">
        <f>IF(A132="","",COUNTIF('구성품'!$A$2:$A$501,A132))</f>
        <v/>
      </c>
    </row>
    <row r="133">
      <c r="A133" s="3" t="n"/>
      <c r="C133" s="3" t="n"/>
      <c r="D133" s="4">
        <f>IF(A133="","",SUMIFS('구성품'!$F$2:$F$501,'구성품'!$A$2:$A$501,A133))</f>
        <v/>
      </c>
      <c r="E133" s="2">
        <f>IF(A133="","",COUNTIF('구성품'!$A$2:$A$501,A133))</f>
        <v/>
      </c>
    </row>
    <row r="134">
      <c r="A134" s="3" t="n"/>
      <c r="C134" s="3" t="n"/>
      <c r="D134" s="4">
        <f>IF(A134="","",SUMIFS('구성품'!$F$2:$F$501,'구성품'!$A$2:$A$501,A134))</f>
        <v/>
      </c>
      <c r="E134" s="2">
        <f>IF(A134="","",COUNTIF('구성품'!$A$2:$A$501,A134))</f>
        <v/>
      </c>
    </row>
    <row r="135">
      <c r="A135" s="3" t="n"/>
      <c r="C135" s="3" t="n"/>
      <c r="D135" s="4">
        <f>IF(A135="","",SUMIFS('구성품'!$F$2:$F$501,'구성품'!$A$2:$A$501,A135))</f>
        <v/>
      </c>
      <c r="E135" s="2">
        <f>IF(A135="","",COUNTIF('구성품'!$A$2:$A$501,A135))</f>
        <v/>
      </c>
    </row>
    <row r="136">
      <c r="A136" s="3" t="n"/>
      <c r="C136" s="3" t="n"/>
      <c r="D136" s="4">
        <f>IF(A136="","",SUMIFS('구성품'!$F$2:$F$501,'구성품'!$A$2:$A$501,A136))</f>
        <v/>
      </c>
      <c r="E136" s="2">
        <f>IF(A136="","",COUNTIF('구성품'!$A$2:$A$501,A136))</f>
        <v/>
      </c>
    </row>
    <row r="137">
      <c r="A137" s="3" t="n"/>
      <c r="C137" s="3" t="n"/>
      <c r="D137" s="4">
        <f>IF(A137="","",SUMIFS('구성품'!$F$2:$F$501,'구성품'!$A$2:$A$501,A137))</f>
        <v/>
      </c>
      <c r="E137" s="2">
        <f>IF(A137="","",COUNTIF('구성품'!$A$2:$A$501,A137))</f>
        <v/>
      </c>
    </row>
    <row r="138">
      <c r="A138" s="3" t="n"/>
      <c r="C138" s="3" t="n"/>
      <c r="D138" s="4">
        <f>IF(A138="","",SUMIFS('구성품'!$F$2:$F$501,'구성품'!$A$2:$A$501,A138))</f>
        <v/>
      </c>
      <c r="E138" s="2">
        <f>IF(A138="","",COUNTIF('구성품'!$A$2:$A$501,A138))</f>
        <v/>
      </c>
    </row>
    <row r="139">
      <c r="A139" s="3" t="n"/>
      <c r="C139" s="3" t="n"/>
      <c r="D139" s="4">
        <f>IF(A139="","",SUMIFS('구성품'!$F$2:$F$501,'구성품'!$A$2:$A$501,A139))</f>
        <v/>
      </c>
      <c r="E139" s="2">
        <f>IF(A139="","",COUNTIF('구성품'!$A$2:$A$501,A139))</f>
        <v/>
      </c>
    </row>
    <row r="140">
      <c r="A140" s="3" t="n"/>
      <c r="C140" s="3" t="n"/>
      <c r="D140" s="4">
        <f>IF(A140="","",SUMIFS('구성품'!$F$2:$F$501,'구성품'!$A$2:$A$501,A140))</f>
        <v/>
      </c>
      <c r="E140" s="2">
        <f>IF(A140="","",COUNTIF('구성품'!$A$2:$A$501,A140))</f>
        <v/>
      </c>
    </row>
    <row r="141">
      <c r="A141" s="3" t="n"/>
      <c r="C141" s="3" t="n"/>
      <c r="D141" s="4">
        <f>IF(A141="","",SUMIFS('구성품'!$F$2:$F$501,'구성품'!$A$2:$A$501,A141))</f>
        <v/>
      </c>
      <c r="E141" s="2">
        <f>IF(A141="","",COUNTIF('구성품'!$A$2:$A$501,A141))</f>
        <v/>
      </c>
    </row>
    <row r="142">
      <c r="A142" s="3" t="n"/>
      <c r="C142" s="3" t="n"/>
      <c r="D142" s="4">
        <f>IF(A142="","",SUMIFS('구성품'!$F$2:$F$501,'구성품'!$A$2:$A$501,A142))</f>
        <v/>
      </c>
      <c r="E142" s="2">
        <f>IF(A142="","",COUNTIF('구성품'!$A$2:$A$501,A142))</f>
        <v/>
      </c>
    </row>
    <row r="143">
      <c r="A143" s="3" t="n"/>
      <c r="C143" s="3" t="n"/>
      <c r="D143" s="4">
        <f>IF(A143="","",SUMIFS('구성품'!$F$2:$F$501,'구성품'!$A$2:$A$501,A143))</f>
        <v/>
      </c>
      <c r="E143" s="2">
        <f>IF(A143="","",COUNTIF('구성품'!$A$2:$A$501,A143))</f>
        <v/>
      </c>
    </row>
    <row r="144">
      <c r="A144" s="3" t="n"/>
      <c r="C144" s="3" t="n"/>
      <c r="D144" s="4">
        <f>IF(A144="","",SUMIFS('구성품'!$F$2:$F$501,'구성품'!$A$2:$A$501,A144))</f>
        <v/>
      </c>
      <c r="E144" s="2">
        <f>IF(A144="","",COUNTIF('구성품'!$A$2:$A$501,A144))</f>
        <v/>
      </c>
    </row>
    <row r="145">
      <c r="A145" s="3" t="n"/>
      <c r="C145" s="3" t="n"/>
      <c r="D145" s="4">
        <f>IF(A145="","",SUMIFS('구성품'!$F$2:$F$501,'구성품'!$A$2:$A$501,A145))</f>
        <v/>
      </c>
      <c r="E145" s="2">
        <f>IF(A145="","",COUNTIF('구성품'!$A$2:$A$501,A145))</f>
        <v/>
      </c>
    </row>
    <row r="146">
      <c r="A146" s="3" t="n"/>
      <c r="C146" s="3" t="n"/>
      <c r="D146" s="4">
        <f>IF(A146="","",SUMIFS('구성품'!$F$2:$F$501,'구성품'!$A$2:$A$501,A146))</f>
        <v/>
      </c>
      <c r="E146" s="2">
        <f>IF(A146="","",COUNTIF('구성품'!$A$2:$A$501,A146))</f>
        <v/>
      </c>
    </row>
    <row r="147">
      <c r="A147" s="3" t="n"/>
      <c r="C147" s="3" t="n"/>
      <c r="D147" s="4">
        <f>IF(A147="","",SUMIFS('구성품'!$F$2:$F$501,'구성품'!$A$2:$A$501,A147))</f>
        <v/>
      </c>
      <c r="E147" s="2">
        <f>IF(A147="","",COUNTIF('구성품'!$A$2:$A$501,A147))</f>
        <v/>
      </c>
    </row>
    <row r="148">
      <c r="A148" s="3" t="n"/>
      <c r="C148" s="3" t="n"/>
      <c r="D148" s="4">
        <f>IF(A148="","",SUMIFS('구성품'!$F$2:$F$501,'구성품'!$A$2:$A$501,A148))</f>
        <v/>
      </c>
      <c r="E148" s="2">
        <f>IF(A148="","",COUNTIF('구성품'!$A$2:$A$501,A148))</f>
        <v/>
      </c>
    </row>
    <row r="149">
      <c r="A149" s="3" t="n"/>
      <c r="C149" s="3" t="n"/>
      <c r="D149" s="4">
        <f>IF(A149="","",SUMIFS('구성품'!$F$2:$F$501,'구성품'!$A$2:$A$501,A149))</f>
        <v/>
      </c>
      <c r="E149" s="2">
        <f>IF(A149="","",COUNTIF('구성품'!$A$2:$A$501,A149))</f>
        <v/>
      </c>
    </row>
    <row r="150">
      <c r="A150" s="3" t="n"/>
      <c r="C150" s="3" t="n"/>
      <c r="D150" s="4">
        <f>IF(A150="","",SUMIFS('구성품'!$F$2:$F$501,'구성품'!$A$2:$A$501,A150))</f>
        <v/>
      </c>
      <c r="E150" s="2">
        <f>IF(A150="","",COUNTIF('구성품'!$A$2:$A$501,A150))</f>
        <v/>
      </c>
    </row>
    <row r="151">
      <c r="A151" s="3" t="n"/>
      <c r="C151" s="3" t="n"/>
      <c r="D151" s="4">
        <f>IF(A151="","",SUMIFS('구성품'!$F$2:$F$501,'구성품'!$A$2:$A$501,A151))</f>
        <v/>
      </c>
      <c r="E151" s="2">
        <f>IF(A151="","",COUNTIF('구성품'!$A$2:$A$501,A151))</f>
        <v/>
      </c>
    </row>
    <row r="152">
      <c r="A152" s="3" t="n"/>
      <c r="C152" s="3" t="n"/>
      <c r="D152" s="4">
        <f>IF(A152="","",SUMIFS('구성품'!$F$2:$F$501,'구성품'!$A$2:$A$501,A152))</f>
        <v/>
      </c>
      <c r="E152" s="2">
        <f>IF(A152="","",COUNTIF('구성품'!$A$2:$A$501,A152))</f>
        <v/>
      </c>
    </row>
    <row r="153">
      <c r="A153" s="3" t="n"/>
      <c r="C153" s="3" t="n"/>
      <c r="D153" s="4">
        <f>IF(A153="","",SUMIFS('구성품'!$F$2:$F$501,'구성품'!$A$2:$A$501,A153))</f>
        <v/>
      </c>
      <c r="E153" s="2">
        <f>IF(A153="","",COUNTIF('구성품'!$A$2:$A$501,A153))</f>
        <v/>
      </c>
    </row>
    <row r="154">
      <c r="A154" s="3" t="n"/>
      <c r="C154" s="3" t="n"/>
      <c r="D154" s="4">
        <f>IF(A154="","",SUMIFS('구성품'!$F$2:$F$501,'구성품'!$A$2:$A$501,A154))</f>
        <v/>
      </c>
      <c r="E154" s="2">
        <f>IF(A154="","",COUNTIF('구성품'!$A$2:$A$501,A154))</f>
        <v/>
      </c>
    </row>
    <row r="155">
      <c r="A155" s="3" t="n"/>
      <c r="C155" s="3" t="n"/>
      <c r="D155" s="4">
        <f>IF(A155="","",SUMIFS('구성품'!$F$2:$F$501,'구성품'!$A$2:$A$501,A155))</f>
        <v/>
      </c>
      <c r="E155" s="2">
        <f>IF(A155="","",COUNTIF('구성품'!$A$2:$A$501,A155))</f>
        <v/>
      </c>
    </row>
    <row r="156">
      <c r="A156" s="3" t="n"/>
      <c r="C156" s="3" t="n"/>
      <c r="D156" s="4">
        <f>IF(A156="","",SUMIFS('구성품'!$F$2:$F$501,'구성품'!$A$2:$A$501,A156))</f>
        <v/>
      </c>
      <c r="E156" s="2">
        <f>IF(A156="","",COUNTIF('구성품'!$A$2:$A$501,A156))</f>
        <v/>
      </c>
    </row>
    <row r="157">
      <c r="A157" s="3" t="n"/>
      <c r="C157" s="3" t="n"/>
      <c r="D157" s="4">
        <f>IF(A157="","",SUMIFS('구성품'!$F$2:$F$501,'구성품'!$A$2:$A$501,A157))</f>
        <v/>
      </c>
      <c r="E157" s="2">
        <f>IF(A157="","",COUNTIF('구성품'!$A$2:$A$501,A157))</f>
        <v/>
      </c>
    </row>
    <row r="158">
      <c r="A158" s="3" t="n"/>
      <c r="C158" s="3" t="n"/>
      <c r="D158" s="4">
        <f>IF(A158="","",SUMIFS('구성품'!$F$2:$F$501,'구성품'!$A$2:$A$501,A158))</f>
        <v/>
      </c>
      <c r="E158" s="2">
        <f>IF(A158="","",COUNTIF('구성품'!$A$2:$A$501,A158))</f>
        <v/>
      </c>
    </row>
    <row r="159">
      <c r="A159" s="3" t="n"/>
      <c r="C159" s="3" t="n"/>
      <c r="D159" s="4">
        <f>IF(A159="","",SUMIFS('구성품'!$F$2:$F$501,'구성품'!$A$2:$A$501,A159))</f>
        <v/>
      </c>
      <c r="E159" s="2">
        <f>IF(A159="","",COUNTIF('구성품'!$A$2:$A$501,A159))</f>
        <v/>
      </c>
    </row>
    <row r="160">
      <c r="A160" s="3" t="n"/>
      <c r="C160" s="3" t="n"/>
      <c r="D160" s="4">
        <f>IF(A160="","",SUMIFS('구성품'!$F$2:$F$501,'구성품'!$A$2:$A$501,A160))</f>
        <v/>
      </c>
      <c r="E160" s="2">
        <f>IF(A160="","",COUNTIF('구성품'!$A$2:$A$501,A160))</f>
        <v/>
      </c>
    </row>
    <row r="161">
      <c r="A161" s="3" t="n"/>
      <c r="C161" s="3" t="n"/>
      <c r="D161" s="4">
        <f>IF(A161="","",SUMIFS('구성품'!$F$2:$F$501,'구성품'!$A$2:$A$501,A161))</f>
        <v/>
      </c>
      <c r="E161" s="2">
        <f>IF(A161="","",COUNTIF('구성품'!$A$2:$A$501,A161))</f>
        <v/>
      </c>
    </row>
    <row r="162">
      <c r="A162" s="3" t="n"/>
      <c r="C162" s="3" t="n"/>
      <c r="D162" s="4">
        <f>IF(A162="","",SUMIFS('구성품'!$F$2:$F$501,'구성품'!$A$2:$A$501,A162))</f>
        <v/>
      </c>
      <c r="E162" s="2">
        <f>IF(A162="","",COUNTIF('구성품'!$A$2:$A$501,A162))</f>
        <v/>
      </c>
    </row>
    <row r="163">
      <c r="A163" s="3" t="n"/>
      <c r="C163" s="3" t="n"/>
      <c r="D163" s="4">
        <f>IF(A163="","",SUMIFS('구성품'!$F$2:$F$501,'구성품'!$A$2:$A$501,A163))</f>
        <v/>
      </c>
      <c r="E163" s="2">
        <f>IF(A163="","",COUNTIF('구성품'!$A$2:$A$501,A163))</f>
        <v/>
      </c>
    </row>
    <row r="164">
      <c r="A164" s="3" t="n"/>
      <c r="C164" s="3" t="n"/>
      <c r="D164" s="4">
        <f>IF(A164="","",SUMIFS('구성품'!$F$2:$F$501,'구성품'!$A$2:$A$501,A164))</f>
        <v/>
      </c>
      <c r="E164" s="2">
        <f>IF(A164="","",COUNTIF('구성품'!$A$2:$A$501,A164))</f>
        <v/>
      </c>
    </row>
    <row r="165">
      <c r="A165" s="3" t="n"/>
      <c r="C165" s="3" t="n"/>
      <c r="D165" s="4">
        <f>IF(A165="","",SUMIFS('구성품'!$F$2:$F$501,'구성품'!$A$2:$A$501,A165))</f>
        <v/>
      </c>
      <c r="E165" s="2">
        <f>IF(A165="","",COUNTIF('구성품'!$A$2:$A$501,A165))</f>
        <v/>
      </c>
    </row>
    <row r="166">
      <c r="A166" s="3" t="n"/>
      <c r="C166" s="3" t="n"/>
      <c r="D166" s="4">
        <f>IF(A166="","",SUMIFS('구성품'!$F$2:$F$501,'구성품'!$A$2:$A$501,A166))</f>
        <v/>
      </c>
      <c r="E166" s="2">
        <f>IF(A166="","",COUNTIF('구성품'!$A$2:$A$501,A166))</f>
        <v/>
      </c>
    </row>
    <row r="167">
      <c r="A167" s="3" t="n"/>
      <c r="C167" s="3" t="n"/>
      <c r="D167" s="4">
        <f>IF(A167="","",SUMIFS('구성품'!$F$2:$F$501,'구성품'!$A$2:$A$501,A167))</f>
        <v/>
      </c>
      <c r="E167" s="2">
        <f>IF(A167="","",COUNTIF('구성품'!$A$2:$A$501,A167))</f>
        <v/>
      </c>
    </row>
    <row r="168">
      <c r="A168" s="3" t="n"/>
      <c r="C168" s="3" t="n"/>
      <c r="D168" s="4">
        <f>IF(A168="","",SUMIFS('구성품'!$F$2:$F$501,'구성품'!$A$2:$A$501,A168))</f>
        <v/>
      </c>
      <c r="E168" s="2">
        <f>IF(A168="","",COUNTIF('구성품'!$A$2:$A$501,A168))</f>
        <v/>
      </c>
    </row>
    <row r="169">
      <c r="A169" s="3" t="n"/>
      <c r="C169" s="3" t="n"/>
      <c r="D169" s="4">
        <f>IF(A169="","",SUMIFS('구성품'!$F$2:$F$501,'구성품'!$A$2:$A$501,A169))</f>
        <v/>
      </c>
      <c r="E169" s="2">
        <f>IF(A169="","",COUNTIF('구성품'!$A$2:$A$501,A169))</f>
        <v/>
      </c>
    </row>
    <row r="170">
      <c r="A170" s="3" t="n"/>
      <c r="C170" s="3" t="n"/>
      <c r="D170" s="4">
        <f>IF(A170="","",SUMIFS('구성품'!$F$2:$F$501,'구성품'!$A$2:$A$501,A170))</f>
        <v/>
      </c>
      <c r="E170" s="2">
        <f>IF(A170="","",COUNTIF('구성품'!$A$2:$A$501,A170))</f>
        <v/>
      </c>
    </row>
    <row r="171">
      <c r="A171" s="3" t="n"/>
      <c r="C171" s="3" t="n"/>
      <c r="D171" s="4">
        <f>IF(A171="","",SUMIFS('구성품'!$F$2:$F$501,'구성품'!$A$2:$A$501,A171))</f>
        <v/>
      </c>
      <c r="E171" s="2">
        <f>IF(A171="","",COUNTIF('구성품'!$A$2:$A$501,A171))</f>
        <v/>
      </c>
    </row>
    <row r="172">
      <c r="A172" s="3" t="n"/>
      <c r="C172" s="3" t="n"/>
      <c r="D172" s="4">
        <f>IF(A172="","",SUMIFS('구성품'!$F$2:$F$501,'구성품'!$A$2:$A$501,A172))</f>
        <v/>
      </c>
      <c r="E172" s="2">
        <f>IF(A172="","",COUNTIF('구성품'!$A$2:$A$501,A172))</f>
        <v/>
      </c>
    </row>
    <row r="173">
      <c r="A173" s="3" t="n"/>
      <c r="C173" s="3" t="n"/>
      <c r="D173" s="4">
        <f>IF(A173="","",SUMIFS('구성품'!$F$2:$F$501,'구성품'!$A$2:$A$501,A173))</f>
        <v/>
      </c>
      <c r="E173" s="2">
        <f>IF(A173="","",COUNTIF('구성품'!$A$2:$A$501,A173))</f>
        <v/>
      </c>
    </row>
    <row r="174">
      <c r="A174" s="3" t="n"/>
      <c r="C174" s="3" t="n"/>
      <c r="D174" s="4">
        <f>IF(A174="","",SUMIFS('구성품'!$F$2:$F$501,'구성품'!$A$2:$A$501,A174))</f>
        <v/>
      </c>
      <c r="E174" s="2">
        <f>IF(A174="","",COUNTIF('구성품'!$A$2:$A$501,A174))</f>
        <v/>
      </c>
    </row>
    <row r="175">
      <c r="A175" s="3" t="n"/>
      <c r="C175" s="3" t="n"/>
      <c r="D175" s="4">
        <f>IF(A175="","",SUMIFS('구성품'!$F$2:$F$501,'구성품'!$A$2:$A$501,A175))</f>
        <v/>
      </c>
      <c r="E175" s="2">
        <f>IF(A175="","",COUNTIF('구성품'!$A$2:$A$501,A175))</f>
        <v/>
      </c>
    </row>
    <row r="176">
      <c r="A176" s="3" t="n"/>
      <c r="C176" s="3" t="n"/>
      <c r="D176" s="4">
        <f>IF(A176="","",SUMIFS('구성품'!$F$2:$F$501,'구성품'!$A$2:$A$501,A176))</f>
        <v/>
      </c>
      <c r="E176" s="2">
        <f>IF(A176="","",COUNTIF('구성품'!$A$2:$A$501,A176))</f>
        <v/>
      </c>
    </row>
    <row r="177">
      <c r="A177" s="3" t="n"/>
      <c r="C177" s="3" t="n"/>
      <c r="D177" s="4">
        <f>IF(A177="","",SUMIFS('구성품'!$F$2:$F$501,'구성품'!$A$2:$A$501,A177))</f>
        <v/>
      </c>
      <c r="E177" s="2">
        <f>IF(A177="","",COUNTIF('구성품'!$A$2:$A$501,A177))</f>
        <v/>
      </c>
    </row>
    <row r="178">
      <c r="A178" s="3" t="n"/>
      <c r="C178" s="3" t="n"/>
      <c r="D178" s="4">
        <f>IF(A178="","",SUMIFS('구성품'!$F$2:$F$501,'구성품'!$A$2:$A$501,A178))</f>
        <v/>
      </c>
      <c r="E178" s="2">
        <f>IF(A178="","",COUNTIF('구성품'!$A$2:$A$501,A178))</f>
        <v/>
      </c>
    </row>
    <row r="179">
      <c r="A179" s="3" t="n"/>
      <c r="C179" s="3" t="n"/>
      <c r="D179" s="4">
        <f>IF(A179="","",SUMIFS('구성품'!$F$2:$F$501,'구성품'!$A$2:$A$501,A179))</f>
        <v/>
      </c>
      <c r="E179" s="2">
        <f>IF(A179="","",COUNTIF('구성품'!$A$2:$A$501,A179))</f>
        <v/>
      </c>
    </row>
    <row r="180">
      <c r="A180" s="3" t="n"/>
      <c r="C180" s="3" t="n"/>
      <c r="D180" s="4">
        <f>IF(A180="","",SUMIFS('구성품'!$F$2:$F$501,'구성품'!$A$2:$A$501,A180))</f>
        <v/>
      </c>
      <c r="E180" s="2">
        <f>IF(A180="","",COUNTIF('구성품'!$A$2:$A$501,A180))</f>
        <v/>
      </c>
    </row>
    <row r="181">
      <c r="A181" s="3" t="n"/>
      <c r="C181" s="3" t="n"/>
      <c r="D181" s="4">
        <f>IF(A181="","",SUMIFS('구성품'!$F$2:$F$501,'구성품'!$A$2:$A$501,A181))</f>
        <v/>
      </c>
      <c r="E181" s="2">
        <f>IF(A181="","",COUNTIF('구성품'!$A$2:$A$501,A181))</f>
        <v/>
      </c>
    </row>
    <row r="182">
      <c r="A182" s="3" t="n"/>
      <c r="C182" s="3" t="n"/>
      <c r="D182" s="4">
        <f>IF(A182="","",SUMIFS('구성품'!$F$2:$F$501,'구성품'!$A$2:$A$501,A182))</f>
        <v/>
      </c>
      <c r="E182" s="2">
        <f>IF(A182="","",COUNTIF('구성품'!$A$2:$A$501,A182))</f>
        <v/>
      </c>
    </row>
    <row r="183">
      <c r="A183" s="3" t="n"/>
      <c r="C183" s="3" t="n"/>
      <c r="D183" s="4">
        <f>IF(A183="","",SUMIFS('구성품'!$F$2:$F$501,'구성품'!$A$2:$A$501,A183))</f>
        <v/>
      </c>
      <c r="E183" s="2">
        <f>IF(A183="","",COUNTIF('구성품'!$A$2:$A$501,A183))</f>
        <v/>
      </c>
    </row>
    <row r="184">
      <c r="A184" s="3" t="n"/>
      <c r="C184" s="3" t="n"/>
      <c r="D184" s="4">
        <f>IF(A184="","",SUMIFS('구성품'!$F$2:$F$501,'구성품'!$A$2:$A$501,A184))</f>
        <v/>
      </c>
      <c r="E184" s="2">
        <f>IF(A184="","",COUNTIF('구성품'!$A$2:$A$501,A184))</f>
        <v/>
      </c>
    </row>
    <row r="185">
      <c r="A185" s="3" t="n"/>
      <c r="C185" s="3" t="n"/>
      <c r="D185" s="4">
        <f>IF(A185="","",SUMIFS('구성품'!$F$2:$F$501,'구성품'!$A$2:$A$501,A185))</f>
        <v/>
      </c>
      <c r="E185" s="2">
        <f>IF(A185="","",COUNTIF('구성품'!$A$2:$A$501,A185))</f>
        <v/>
      </c>
    </row>
    <row r="186">
      <c r="A186" s="3" t="n"/>
      <c r="C186" s="3" t="n"/>
      <c r="D186" s="4">
        <f>IF(A186="","",SUMIFS('구성품'!$F$2:$F$501,'구성품'!$A$2:$A$501,A186))</f>
        <v/>
      </c>
      <c r="E186" s="2">
        <f>IF(A186="","",COUNTIF('구성품'!$A$2:$A$501,A186))</f>
        <v/>
      </c>
    </row>
    <row r="187">
      <c r="A187" s="3" t="n"/>
      <c r="C187" s="3" t="n"/>
      <c r="D187" s="4">
        <f>IF(A187="","",SUMIFS('구성품'!$F$2:$F$501,'구성품'!$A$2:$A$501,A187))</f>
        <v/>
      </c>
      <c r="E187" s="2">
        <f>IF(A187="","",COUNTIF('구성품'!$A$2:$A$501,A187))</f>
        <v/>
      </c>
    </row>
    <row r="188">
      <c r="A188" s="3" t="n"/>
      <c r="C188" s="3" t="n"/>
      <c r="D188" s="4">
        <f>IF(A188="","",SUMIFS('구성품'!$F$2:$F$501,'구성품'!$A$2:$A$501,A188))</f>
        <v/>
      </c>
      <c r="E188" s="2">
        <f>IF(A188="","",COUNTIF('구성품'!$A$2:$A$501,A188))</f>
        <v/>
      </c>
    </row>
    <row r="189">
      <c r="A189" s="3" t="n"/>
      <c r="C189" s="3" t="n"/>
      <c r="D189" s="4">
        <f>IF(A189="","",SUMIFS('구성품'!$F$2:$F$501,'구성품'!$A$2:$A$501,A189))</f>
        <v/>
      </c>
      <c r="E189" s="2">
        <f>IF(A189="","",COUNTIF('구성품'!$A$2:$A$501,A189))</f>
        <v/>
      </c>
    </row>
    <row r="190">
      <c r="A190" s="3" t="n"/>
      <c r="C190" s="3" t="n"/>
      <c r="D190" s="4">
        <f>IF(A190="","",SUMIFS('구성품'!$F$2:$F$501,'구성품'!$A$2:$A$501,A190))</f>
        <v/>
      </c>
      <c r="E190" s="2">
        <f>IF(A190="","",COUNTIF('구성품'!$A$2:$A$501,A190))</f>
        <v/>
      </c>
    </row>
    <row r="191">
      <c r="A191" s="3" t="n"/>
      <c r="C191" s="3" t="n"/>
      <c r="D191" s="4">
        <f>IF(A191="","",SUMIFS('구성품'!$F$2:$F$501,'구성품'!$A$2:$A$501,A191))</f>
        <v/>
      </c>
      <c r="E191" s="2">
        <f>IF(A191="","",COUNTIF('구성품'!$A$2:$A$501,A191))</f>
        <v/>
      </c>
    </row>
    <row r="192">
      <c r="A192" s="3" t="n"/>
      <c r="C192" s="3" t="n"/>
      <c r="D192" s="4">
        <f>IF(A192="","",SUMIFS('구성품'!$F$2:$F$501,'구성품'!$A$2:$A$501,A192))</f>
        <v/>
      </c>
      <c r="E192" s="2">
        <f>IF(A192="","",COUNTIF('구성품'!$A$2:$A$501,A192))</f>
        <v/>
      </c>
    </row>
    <row r="193">
      <c r="A193" s="3" t="n"/>
      <c r="C193" s="3" t="n"/>
      <c r="D193" s="4">
        <f>IF(A193="","",SUMIFS('구성품'!$F$2:$F$501,'구성품'!$A$2:$A$501,A193))</f>
        <v/>
      </c>
      <c r="E193" s="2">
        <f>IF(A193="","",COUNTIF('구성품'!$A$2:$A$501,A193))</f>
        <v/>
      </c>
    </row>
    <row r="194">
      <c r="A194" s="3" t="n"/>
      <c r="C194" s="3" t="n"/>
      <c r="D194" s="4">
        <f>IF(A194="","",SUMIFS('구성품'!$F$2:$F$501,'구성품'!$A$2:$A$501,A194))</f>
        <v/>
      </c>
      <c r="E194" s="2">
        <f>IF(A194="","",COUNTIF('구성품'!$A$2:$A$501,A194))</f>
        <v/>
      </c>
    </row>
    <row r="195">
      <c r="A195" s="3" t="n"/>
      <c r="C195" s="3" t="n"/>
      <c r="D195" s="4">
        <f>IF(A195="","",SUMIFS('구성품'!$F$2:$F$501,'구성품'!$A$2:$A$501,A195))</f>
        <v/>
      </c>
      <c r="E195" s="2">
        <f>IF(A195="","",COUNTIF('구성품'!$A$2:$A$501,A195))</f>
        <v/>
      </c>
    </row>
    <row r="196">
      <c r="A196" s="3" t="n"/>
      <c r="C196" s="3" t="n"/>
      <c r="D196" s="4">
        <f>IF(A196="","",SUMIFS('구성품'!$F$2:$F$501,'구성품'!$A$2:$A$501,A196))</f>
        <v/>
      </c>
      <c r="E196" s="2">
        <f>IF(A196="","",COUNTIF('구성품'!$A$2:$A$501,A196))</f>
        <v/>
      </c>
    </row>
    <row r="197">
      <c r="A197" s="3" t="n"/>
      <c r="C197" s="3" t="n"/>
      <c r="D197" s="4">
        <f>IF(A197="","",SUMIFS('구성품'!$F$2:$F$501,'구성품'!$A$2:$A$501,A197))</f>
        <v/>
      </c>
      <c r="E197" s="2">
        <f>IF(A197="","",COUNTIF('구성품'!$A$2:$A$501,A197))</f>
        <v/>
      </c>
    </row>
    <row r="198">
      <c r="A198" s="3" t="n"/>
      <c r="C198" s="3" t="n"/>
      <c r="D198" s="4">
        <f>IF(A198="","",SUMIFS('구성품'!$F$2:$F$501,'구성품'!$A$2:$A$501,A198))</f>
        <v/>
      </c>
      <c r="E198" s="2">
        <f>IF(A198="","",COUNTIF('구성품'!$A$2:$A$501,A198))</f>
        <v/>
      </c>
    </row>
    <row r="199">
      <c r="A199" s="3" t="n"/>
      <c r="C199" s="3" t="n"/>
      <c r="D199" s="4">
        <f>IF(A199="","",SUMIFS('구성품'!$F$2:$F$501,'구성품'!$A$2:$A$501,A199))</f>
        <v/>
      </c>
      <c r="E199" s="2">
        <f>IF(A199="","",COUNTIF('구성품'!$A$2:$A$501,A199))</f>
        <v/>
      </c>
    </row>
    <row r="200">
      <c r="A200" s="3" t="n"/>
      <c r="C200" s="3" t="n"/>
      <c r="D200" s="4">
        <f>IF(A200="","",SUMIFS('구성품'!$F$2:$F$501,'구성품'!$A$2:$A$501,A200))</f>
        <v/>
      </c>
      <c r="E200" s="2">
        <f>IF(A200="","",COUNTIF('구성품'!$A$2:$A$501,A200))</f>
        <v/>
      </c>
    </row>
    <row r="201">
      <c r="A201" s="3" t="n"/>
      <c r="C201" s="3" t="n"/>
      <c r="D201" s="4">
        <f>IF(A201="","",SUMIFS('구성품'!$F$2:$F$501,'구성품'!$A$2:$A$501,A201))</f>
        <v/>
      </c>
      <c r="E201" s="2">
        <f>IF(A201="","",COUNTIF('구성품'!$A$2:$A$501,A201))</f>
        <v/>
      </c>
    </row>
    <row r="202">
      <c r="A202" s="3" t="n"/>
      <c r="C202" s="3" t="n"/>
      <c r="D202" s="4">
        <f>IF(A202="","",SUMIFS('구성품'!$F$2:$F$501,'구성품'!$A$2:$A$501,A202))</f>
        <v/>
      </c>
      <c r="E202" s="2">
        <f>IF(A202="","",COUNTIF('구성품'!$A$2:$A$501,A202))</f>
        <v/>
      </c>
    </row>
    <row r="203">
      <c r="A203" s="3" t="n"/>
      <c r="C203" s="3" t="n"/>
      <c r="D203" s="4">
        <f>IF(A203="","",SUMIFS('구성품'!$F$2:$F$501,'구성품'!$A$2:$A$501,A203))</f>
        <v/>
      </c>
      <c r="E203" s="2">
        <f>IF(A203="","",COUNTIF('구성품'!$A$2:$A$501,A203))</f>
        <v/>
      </c>
    </row>
    <row r="204">
      <c r="A204" s="3" t="n"/>
      <c r="C204" s="3" t="n"/>
      <c r="D204" s="4">
        <f>IF(A204="","",SUMIFS('구성품'!$F$2:$F$501,'구성품'!$A$2:$A$501,A204))</f>
        <v/>
      </c>
      <c r="E204" s="2">
        <f>IF(A204="","",COUNTIF('구성품'!$A$2:$A$501,A204))</f>
        <v/>
      </c>
    </row>
    <row r="205">
      <c r="A205" s="3" t="n"/>
      <c r="C205" s="3" t="n"/>
      <c r="D205" s="4">
        <f>IF(A205="","",SUMIFS('구성품'!$F$2:$F$501,'구성품'!$A$2:$A$501,A205))</f>
        <v/>
      </c>
      <c r="E205" s="2">
        <f>IF(A205="","",COUNTIF('구성품'!$A$2:$A$501,A205))</f>
        <v/>
      </c>
    </row>
    <row r="206">
      <c r="A206" s="3" t="n"/>
      <c r="C206" s="3" t="n"/>
      <c r="D206" s="4">
        <f>IF(A206="","",SUMIFS('구성품'!$F$2:$F$501,'구성품'!$A$2:$A$501,A206))</f>
        <v/>
      </c>
      <c r="E206" s="2">
        <f>IF(A206="","",COUNTIF('구성품'!$A$2:$A$501,A206))</f>
        <v/>
      </c>
    </row>
    <row r="207">
      <c r="A207" s="3" t="n"/>
      <c r="C207" s="3" t="n"/>
      <c r="D207" s="4">
        <f>IF(A207="","",SUMIFS('구성품'!$F$2:$F$501,'구성품'!$A$2:$A$501,A207))</f>
        <v/>
      </c>
      <c r="E207" s="2">
        <f>IF(A207="","",COUNTIF('구성품'!$A$2:$A$501,A207))</f>
        <v/>
      </c>
    </row>
    <row r="208">
      <c r="A208" s="3" t="n"/>
      <c r="C208" s="3" t="n"/>
      <c r="D208" s="4">
        <f>IF(A208="","",SUMIFS('구성품'!$F$2:$F$501,'구성품'!$A$2:$A$501,A208))</f>
        <v/>
      </c>
      <c r="E208" s="2">
        <f>IF(A208="","",COUNTIF('구성품'!$A$2:$A$501,A208))</f>
        <v/>
      </c>
    </row>
    <row r="209">
      <c r="A209" s="3" t="n"/>
      <c r="C209" s="3" t="n"/>
      <c r="D209" s="4">
        <f>IF(A209="","",SUMIFS('구성품'!$F$2:$F$501,'구성품'!$A$2:$A$501,A209))</f>
        <v/>
      </c>
      <c r="E209" s="2">
        <f>IF(A209="","",COUNTIF('구성품'!$A$2:$A$501,A209))</f>
        <v/>
      </c>
    </row>
    <row r="210">
      <c r="A210" s="3" t="n"/>
      <c r="C210" s="3" t="n"/>
      <c r="D210" s="4">
        <f>IF(A210="","",SUMIFS('구성품'!$F$2:$F$501,'구성품'!$A$2:$A$501,A210))</f>
        <v/>
      </c>
      <c r="E210" s="2">
        <f>IF(A210="","",COUNTIF('구성품'!$A$2:$A$501,A210))</f>
        <v/>
      </c>
    </row>
    <row r="211">
      <c r="A211" s="3" t="n"/>
      <c r="C211" s="3" t="n"/>
      <c r="D211" s="4">
        <f>IF(A211="","",SUMIFS('구성품'!$F$2:$F$501,'구성품'!$A$2:$A$501,A211))</f>
        <v/>
      </c>
      <c r="E211" s="2">
        <f>IF(A211="","",COUNTIF('구성품'!$A$2:$A$501,A211))</f>
        <v/>
      </c>
    </row>
    <row r="212">
      <c r="A212" s="3" t="n"/>
      <c r="C212" s="3" t="n"/>
      <c r="D212" s="4">
        <f>IF(A212="","",SUMIFS('구성품'!$F$2:$F$501,'구성품'!$A$2:$A$501,A212))</f>
        <v/>
      </c>
      <c r="E212" s="2">
        <f>IF(A212="","",COUNTIF('구성품'!$A$2:$A$501,A212))</f>
        <v/>
      </c>
    </row>
    <row r="213">
      <c r="A213" s="3" t="n"/>
      <c r="C213" s="3" t="n"/>
      <c r="D213" s="4">
        <f>IF(A213="","",SUMIFS('구성품'!$F$2:$F$501,'구성품'!$A$2:$A$501,A213))</f>
        <v/>
      </c>
      <c r="E213" s="2">
        <f>IF(A213="","",COUNTIF('구성품'!$A$2:$A$501,A213))</f>
        <v/>
      </c>
    </row>
    <row r="214">
      <c r="A214" s="3" t="n"/>
      <c r="C214" s="3" t="n"/>
      <c r="D214" s="4">
        <f>IF(A214="","",SUMIFS('구성품'!$F$2:$F$501,'구성품'!$A$2:$A$501,A214))</f>
        <v/>
      </c>
      <c r="E214" s="2">
        <f>IF(A214="","",COUNTIF('구성품'!$A$2:$A$501,A214))</f>
        <v/>
      </c>
    </row>
    <row r="215">
      <c r="A215" s="3" t="n"/>
      <c r="C215" s="3" t="n"/>
      <c r="D215" s="4">
        <f>IF(A215="","",SUMIFS('구성품'!$F$2:$F$501,'구성품'!$A$2:$A$501,A215))</f>
        <v/>
      </c>
      <c r="E215" s="2">
        <f>IF(A215="","",COUNTIF('구성품'!$A$2:$A$501,A215))</f>
        <v/>
      </c>
    </row>
    <row r="216">
      <c r="A216" s="3" t="n"/>
      <c r="C216" s="3" t="n"/>
      <c r="D216" s="4">
        <f>IF(A216="","",SUMIFS('구성품'!$F$2:$F$501,'구성품'!$A$2:$A$501,A216))</f>
        <v/>
      </c>
      <c r="E216" s="2">
        <f>IF(A216="","",COUNTIF('구성품'!$A$2:$A$501,A216))</f>
        <v/>
      </c>
    </row>
    <row r="217">
      <c r="A217" s="3" t="n"/>
      <c r="C217" s="3" t="n"/>
      <c r="D217" s="4">
        <f>IF(A217="","",SUMIFS('구성품'!$F$2:$F$501,'구성품'!$A$2:$A$501,A217))</f>
        <v/>
      </c>
      <c r="E217" s="2">
        <f>IF(A217="","",COUNTIF('구성품'!$A$2:$A$501,A217))</f>
        <v/>
      </c>
    </row>
    <row r="218">
      <c r="A218" s="3" t="n"/>
      <c r="C218" s="3" t="n"/>
      <c r="D218" s="4">
        <f>IF(A218="","",SUMIFS('구성품'!$F$2:$F$501,'구성품'!$A$2:$A$501,A218))</f>
        <v/>
      </c>
      <c r="E218" s="2">
        <f>IF(A218="","",COUNTIF('구성품'!$A$2:$A$501,A218))</f>
        <v/>
      </c>
    </row>
    <row r="219">
      <c r="A219" s="3" t="n"/>
      <c r="C219" s="3" t="n"/>
      <c r="D219" s="4">
        <f>IF(A219="","",SUMIFS('구성품'!$F$2:$F$501,'구성품'!$A$2:$A$501,A219))</f>
        <v/>
      </c>
      <c r="E219" s="2">
        <f>IF(A219="","",COUNTIF('구성품'!$A$2:$A$501,A219))</f>
        <v/>
      </c>
    </row>
    <row r="220">
      <c r="A220" s="3" t="n"/>
      <c r="C220" s="3" t="n"/>
      <c r="D220" s="4">
        <f>IF(A220="","",SUMIFS('구성품'!$F$2:$F$501,'구성품'!$A$2:$A$501,A220))</f>
        <v/>
      </c>
      <c r="E220" s="2">
        <f>IF(A220="","",COUNTIF('구성품'!$A$2:$A$501,A220))</f>
        <v/>
      </c>
    </row>
    <row r="221">
      <c r="A221" s="3" t="n"/>
      <c r="C221" s="3" t="n"/>
      <c r="D221" s="4">
        <f>IF(A221="","",SUMIFS('구성품'!$F$2:$F$501,'구성품'!$A$2:$A$501,A221))</f>
        <v/>
      </c>
      <c r="E221" s="2">
        <f>IF(A221="","",COUNTIF('구성품'!$A$2:$A$501,A221))</f>
        <v/>
      </c>
    </row>
    <row r="222">
      <c r="A222" s="3" t="n"/>
      <c r="C222" s="3" t="n"/>
      <c r="D222" s="4">
        <f>IF(A222="","",SUMIFS('구성품'!$F$2:$F$501,'구성품'!$A$2:$A$501,A222))</f>
        <v/>
      </c>
      <c r="E222" s="2">
        <f>IF(A222="","",COUNTIF('구성품'!$A$2:$A$501,A222))</f>
        <v/>
      </c>
    </row>
    <row r="223">
      <c r="A223" s="3" t="n"/>
      <c r="C223" s="3" t="n"/>
      <c r="D223" s="4">
        <f>IF(A223="","",SUMIFS('구성품'!$F$2:$F$501,'구성품'!$A$2:$A$501,A223))</f>
        <v/>
      </c>
      <c r="E223" s="2">
        <f>IF(A223="","",COUNTIF('구성품'!$A$2:$A$501,A223))</f>
        <v/>
      </c>
    </row>
    <row r="224">
      <c r="A224" s="3" t="n"/>
      <c r="C224" s="3" t="n"/>
      <c r="D224" s="4">
        <f>IF(A224="","",SUMIFS('구성품'!$F$2:$F$501,'구성품'!$A$2:$A$501,A224))</f>
        <v/>
      </c>
      <c r="E224" s="2">
        <f>IF(A224="","",COUNTIF('구성품'!$A$2:$A$501,A224))</f>
        <v/>
      </c>
    </row>
    <row r="225">
      <c r="A225" s="3" t="n"/>
      <c r="C225" s="3" t="n"/>
      <c r="D225" s="4">
        <f>IF(A225="","",SUMIFS('구성품'!$F$2:$F$501,'구성품'!$A$2:$A$501,A225))</f>
        <v/>
      </c>
      <c r="E225" s="2">
        <f>IF(A225="","",COUNTIF('구성품'!$A$2:$A$501,A225))</f>
        <v/>
      </c>
    </row>
    <row r="226">
      <c r="A226" s="3" t="n"/>
      <c r="C226" s="3" t="n"/>
      <c r="D226" s="4">
        <f>IF(A226="","",SUMIFS('구성품'!$F$2:$F$501,'구성품'!$A$2:$A$501,A226))</f>
        <v/>
      </c>
      <c r="E226" s="2">
        <f>IF(A226="","",COUNTIF('구성품'!$A$2:$A$501,A226))</f>
        <v/>
      </c>
    </row>
    <row r="227">
      <c r="A227" s="3" t="n"/>
      <c r="C227" s="3" t="n"/>
      <c r="D227" s="4">
        <f>IF(A227="","",SUMIFS('구성품'!$F$2:$F$501,'구성품'!$A$2:$A$501,A227))</f>
        <v/>
      </c>
      <c r="E227" s="2">
        <f>IF(A227="","",COUNTIF('구성품'!$A$2:$A$501,A227))</f>
        <v/>
      </c>
    </row>
    <row r="228">
      <c r="A228" s="3" t="n"/>
      <c r="C228" s="3" t="n"/>
      <c r="D228" s="4">
        <f>IF(A228="","",SUMIFS('구성품'!$F$2:$F$501,'구성품'!$A$2:$A$501,A228))</f>
        <v/>
      </c>
      <c r="E228" s="2">
        <f>IF(A228="","",COUNTIF('구성품'!$A$2:$A$501,A228))</f>
        <v/>
      </c>
    </row>
    <row r="229">
      <c r="A229" s="3" t="n"/>
      <c r="C229" s="3" t="n"/>
      <c r="D229" s="4">
        <f>IF(A229="","",SUMIFS('구성품'!$F$2:$F$501,'구성품'!$A$2:$A$501,A229))</f>
        <v/>
      </c>
      <c r="E229" s="2">
        <f>IF(A229="","",COUNTIF('구성품'!$A$2:$A$501,A229))</f>
        <v/>
      </c>
    </row>
    <row r="230">
      <c r="A230" s="3" t="n"/>
      <c r="C230" s="3" t="n"/>
      <c r="D230" s="4">
        <f>IF(A230="","",SUMIFS('구성품'!$F$2:$F$501,'구성품'!$A$2:$A$501,A230))</f>
        <v/>
      </c>
      <c r="E230" s="2">
        <f>IF(A230="","",COUNTIF('구성품'!$A$2:$A$501,A230))</f>
        <v/>
      </c>
    </row>
    <row r="231">
      <c r="A231" s="3" t="n"/>
      <c r="C231" s="3" t="n"/>
      <c r="D231" s="4">
        <f>IF(A231="","",SUMIFS('구성품'!$F$2:$F$501,'구성품'!$A$2:$A$501,A231))</f>
        <v/>
      </c>
      <c r="E231" s="2">
        <f>IF(A231="","",COUNTIF('구성품'!$A$2:$A$501,A231))</f>
        <v/>
      </c>
    </row>
    <row r="232">
      <c r="A232" s="3" t="n"/>
      <c r="C232" s="3" t="n"/>
      <c r="D232" s="4">
        <f>IF(A232="","",SUMIFS('구성품'!$F$2:$F$501,'구성품'!$A$2:$A$501,A232))</f>
        <v/>
      </c>
      <c r="E232" s="2">
        <f>IF(A232="","",COUNTIF('구성품'!$A$2:$A$501,A232))</f>
        <v/>
      </c>
    </row>
    <row r="233">
      <c r="A233" s="3" t="n"/>
      <c r="C233" s="3" t="n"/>
      <c r="D233" s="4">
        <f>IF(A233="","",SUMIFS('구성품'!$F$2:$F$501,'구성품'!$A$2:$A$501,A233))</f>
        <v/>
      </c>
      <c r="E233" s="2">
        <f>IF(A233="","",COUNTIF('구성품'!$A$2:$A$501,A233))</f>
        <v/>
      </c>
    </row>
    <row r="234">
      <c r="A234" s="3" t="n"/>
      <c r="C234" s="3" t="n"/>
      <c r="D234" s="4">
        <f>IF(A234="","",SUMIFS('구성품'!$F$2:$F$501,'구성품'!$A$2:$A$501,A234))</f>
        <v/>
      </c>
      <c r="E234" s="2">
        <f>IF(A234="","",COUNTIF('구성품'!$A$2:$A$501,A234))</f>
        <v/>
      </c>
    </row>
    <row r="235">
      <c r="A235" s="3" t="n"/>
      <c r="C235" s="3" t="n"/>
      <c r="D235" s="4">
        <f>IF(A235="","",SUMIFS('구성품'!$F$2:$F$501,'구성품'!$A$2:$A$501,A235))</f>
        <v/>
      </c>
      <c r="E235" s="2">
        <f>IF(A235="","",COUNTIF('구성품'!$A$2:$A$501,A235))</f>
        <v/>
      </c>
    </row>
    <row r="236">
      <c r="A236" s="3" t="n"/>
      <c r="C236" s="3" t="n"/>
      <c r="D236" s="4">
        <f>IF(A236="","",SUMIFS('구성품'!$F$2:$F$501,'구성품'!$A$2:$A$501,A236))</f>
        <v/>
      </c>
      <c r="E236" s="2">
        <f>IF(A236="","",COUNTIF('구성품'!$A$2:$A$501,A236))</f>
        <v/>
      </c>
    </row>
    <row r="237">
      <c r="A237" s="3" t="n"/>
      <c r="C237" s="3" t="n"/>
      <c r="D237" s="4">
        <f>IF(A237="","",SUMIFS('구성품'!$F$2:$F$501,'구성품'!$A$2:$A$501,A237))</f>
        <v/>
      </c>
      <c r="E237" s="2">
        <f>IF(A237="","",COUNTIF('구성품'!$A$2:$A$501,A237))</f>
        <v/>
      </c>
    </row>
    <row r="238">
      <c r="A238" s="3" t="n"/>
      <c r="C238" s="3" t="n"/>
      <c r="D238" s="4">
        <f>IF(A238="","",SUMIFS('구성품'!$F$2:$F$501,'구성품'!$A$2:$A$501,A238))</f>
        <v/>
      </c>
      <c r="E238" s="2">
        <f>IF(A238="","",COUNTIF('구성품'!$A$2:$A$501,A238))</f>
        <v/>
      </c>
    </row>
    <row r="239">
      <c r="A239" s="3" t="n"/>
      <c r="C239" s="3" t="n"/>
      <c r="D239" s="4">
        <f>IF(A239="","",SUMIFS('구성품'!$F$2:$F$501,'구성품'!$A$2:$A$501,A239))</f>
        <v/>
      </c>
      <c r="E239" s="2">
        <f>IF(A239="","",COUNTIF('구성품'!$A$2:$A$501,A239))</f>
        <v/>
      </c>
    </row>
    <row r="240">
      <c r="A240" s="3" t="n"/>
      <c r="C240" s="3" t="n"/>
      <c r="D240" s="4">
        <f>IF(A240="","",SUMIFS('구성품'!$F$2:$F$501,'구성품'!$A$2:$A$501,A240))</f>
        <v/>
      </c>
      <c r="E240" s="2">
        <f>IF(A240="","",COUNTIF('구성품'!$A$2:$A$501,A240))</f>
        <v/>
      </c>
    </row>
    <row r="241">
      <c r="A241" s="3" t="n"/>
      <c r="C241" s="3" t="n"/>
      <c r="D241" s="4">
        <f>IF(A241="","",SUMIFS('구성품'!$F$2:$F$501,'구성품'!$A$2:$A$501,A241))</f>
        <v/>
      </c>
      <c r="E241" s="2">
        <f>IF(A241="","",COUNTIF('구성품'!$A$2:$A$501,A241))</f>
        <v/>
      </c>
    </row>
    <row r="242">
      <c r="A242" s="3" t="n"/>
      <c r="C242" s="3" t="n"/>
      <c r="D242" s="4">
        <f>IF(A242="","",SUMIFS('구성품'!$F$2:$F$501,'구성품'!$A$2:$A$501,A242))</f>
        <v/>
      </c>
      <c r="E242" s="2">
        <f>IF(A242="","",COUNTIF('구성품'!$A$2:$A$501,A242))</f>
        <v/>
      </c>
    </row>
    <row r="243">
      <c r="A243" s="3" t="n"/>
      <c r="C243" s="3" t="n"/>
      <c r="D243" s="4">
        <f>IF(A243="","",SUMIFS('구성품'!$F$2:$F$501,'구성품'!$A$2:$A$501,A243))</f>
        <v/>
      </c>
      <c r="E243" s="2">
        <f>IF(A243="","",COUNTIF('구성품'!$A$2:$A$501,A243))</f>
        <v/>
      </c>
    </row>
    <row r="244">
      <c r="A244" s="3" t="n"/>
      <c r="C244" s="3" t="n"/>
      <c r="D244" s="4">
        <f>IF(A244="","",SUMIFS('구성품'!$F$2:$F$501,'구성품'!$A$2:$A$501,A244))</f>
        <v/>
      </c>
      <c r="E244" s="2">
        <f>IF(A244="","",COUNTIF('구성품'!$A$2:$A$501,A244))</f>
        <v/>
      </c>
    </row>
    <row r="245">
      <c r="A245" s="3" t="n"/>
      <c r="C245" s="3" t="n"/>
      <c r="D245" s="4">
        <f>IF(A245="","",SUMIFS('구성품'!$F$2:$F$501,'구성품'!$A$2:$A$501,A245))</f>
        <v/>
      </c>
      <c r="E245" s="2">
        <f>IF(A245="","",COUNTIF('구성품'!$A$2:$A$501,A245))</f>
        <v/>
      </c>
    </row>
    <row r="246">
      <c r="A246" s="3" t="n"/>
      <c r="C246" s="3" t="n"/>
      <c r="D246" s="4">
        <f>IF(A246="","",SUMIFS('구성품'!$F$2:$F$501,'구성품'!$A$2:$A$501,A246))</f>
        <v/>
      </c>
      <c r="E246" s="2">
        <f>IF(A246="","",COUNTIF('구성품'!$A$2:$A$501,A246))</f>
        <v/>
      </c>
    </row>
    <row r="247">
      <c r="A247" s="3" t="n"/>
      <c r="C247" s="3" t="n"/>
      <c r="D247" s="4">
        <f>IF(A247="","",SUMIFS('구성품'!$F$2:$F$501,'구성품'!$A$2:$A$501,A247))</f>
        <v/>
      </c>
      <c r="E247" s="2">
        <f>IF(A247="","",COUNTIF('구성품'!$A$2:$A$501,A247))</f>
        <v/>
      </c>
    </row>
    <row r="248">
      <c r="A248" s="3" t="n"/>
      <c r="C248" s="3" t="n"/>
      <c r="D248" s="4">
        <f>IF(A248="","",SUMIFS('구성품'!$F$2:$F$501,'구성품'!$A$2:$A$501,A248))</f>
        <v/>
      </c>
      <c r="E248" s="2">
        <f>IF(A248="","",COUNTIF('구성품'!$A$2:$A$501,A248))</f>
        <v/>
      </c>
    </row>
    <row r="249">
      <c r="A249" s="3" t="n"/>
      <c r="C249" s="3" t="n"/>
      <c r="D249" s="4">
        <f>IF(A249="","",SUMIFS('구성품'!$F$2:$F$501,'구성품'!$A$2:$A$501,A249))</f>
        <v/>
      </c>
      <c r="E249" s="2">
        <f>IF(A249="","",COUNTIF('구성품'!$A$2:$A$501,A249))</f>
        <v/>
      </c>
    </row>
    <row r="250">
      <c r="A250" s="3" t="n"/>
      <c r="C250" s="3" t="n"/>
      <c r="D250" s="4">
        <f>IF(A250="","",SUMIFS('구성품'!$F$2:$F$501,'구성품'!$A$2:$A$501,A250))</f>
        <v/>
      </c>
      <c r="E250" s="2">
        <f>IF(A250="","",COUNTIF('구성품'!$A$2:$A$501,A250))</f>
        <v/>
      </c>
    </row>
    <row r="251">
      <c r="A251" s="3" t="n"/>
      <c r="C251" s="3" t="n"/>
      <c r="D251" s="4">
        <f>IF(A251="","",SUMIFS('구성품'!$F$2:$F$501,'구성품'!$A$2:$A$501,A251))</f>
        <v/>
      </c>
      <c r="E251" s="2">
        <f>IF(A251="","",COUNTIF('구성품'!$A$2:$A$501,A251))</f>
        <v/>
      </c>
    </row>
    <row r="252">
      <c r="A252" s="3" t="n"/>
      <c r="C252" s="3" t="n"/>
      <c r="D252" s="4">
        <f>IF(A252="","",SUMIFS('구성품'!$F$2:$F$501,'구성품'!$A$2:$A$501,A252))</f>
        <v/>
      </c>
      <c r="E252" s="2">
        <f>IF(A252="","",COUNTIF('구성품'!$A$2:$A$501,A252))</f>
        <v/>
      </c>
    </row>
    <row r="253">
      <c r="A253" s="3" t="n"/>
      <c r="C253" s="3" t="n"/>
      <c r="D253" s="4">
        <f>IF(A253="","",SUMIFS('구성품'!$F$2:$F$501,'구성품'!$A$2:$A$501,A253))</f>
        <v/>
      </c>
      <c r="E253" s="2">
        <f>IF(A253="","",COUNTIF('구성품'!$A$2:$A$501,A253))</f>
        <v/>
      </c>
    </row>
    <row r="254">
      <c r="A254" s="3" t="n"/>
      <c r="C254" s="3" t="n"/>
      <c r="D254" s="4">
        <f>IF(A254="","",SUMIFS('구성품'!$F$2:$F$501,'구성품'!$A$2:$A$501,A254))</f>
        <v/>
      </c>
      <c r="E254" s="2">
        <f>IF(A254="","",COUNTIF('구성품'!$A$2:$A$501,A254))</f>
        <v/>
      </c>
    </row>
    <row r="255">
      <c r="A255" s="3" t="n"/>
      <c r="C255" s="3" t="n"/>
      <c r="D255" s="4">
        <f>IF(A255="","",SUMIFS('구성품'!$F$2:$F$501,'구성품'!$A$2:$A$501,A255))</f>
        <v/>
      </c>
      <c r="E255" s="2">
        <f>IF(A255="","",COUNTIF('구성품'!$A$2:$A$501,A255))</f>
        <v/>
      </c>
    </row>
    <row r="256">
      <c r="A256" s="3" t="n"/>
      <c r="C256" s="3" t="n"/>
      <c r="D256" s="4">
        <f>IF(A256="","",SUMIFS('구성품'!$F$2:$F$501,'구성품'!$A$2:$A$501,A256))</f>
        <v/>
      </c>
      <c r="E256" s="2">
        <f>IF(A256="","",COUNTIF('구성품'!$A$2:$A$501,A256))</f>
        <v/>
      </c>
    </row>
    <row r="257">
      <c r="A257" s="3" t="n"/>
      <c r="C257" s="3" t="n"/>
      <c r="D257" s="4">
        <f>IF(A257="","",SUMIFS('구성품'!$F$2:$F$501,'구성품'!$A$2:$A$501,A257))</f>
        <v/>
      </c>
      <c r="E257" s="2">
        <f>IF(A257="","",COUNTIF('구성품'!$A$2:$A$501,A257))</f>
        <v/>
      </c>
    </row>
    <row r="258">
      <c r="A258" s="3" t="n"/>
      <c r="C258" s="3" t="n"/>
      <c r="D258" s="4">
        <f>IF(A258="","",SUMIFS('구성품'!$F$2:$F$501,'구성품'!$A$2:$A$501,A258))</f>
        <v/>
      </c>
      <c r="E258" s="2">
        <f>IF(A258="","",COUNTIF('구성품'!$A$2:$A$501,A258))</f>
        <v/>
      </c>
    </row>
    <row r="259">
      <c r="A259" s="3" t="n"/>
      <c r="C259" s="3" t="n"/>
      <c r="D259" s="4">
        <f>IF(A259="","",SUMIFS('구성품'!$F$2:$F$501,'구성품'!$A$2:$A$501,A259))</f>
        <v/>
      </c>
      <c r="E259" s="2">
        <f>IF(A259="","",COUNTIF('구성품'!$A$2:$A$501,A259))</f>
        <v/>
      </c>
    </row>
    <row r="260">
      <c r="A260" s="3" t="n"/>
      <c r="C260" s="3" t="n"/>
      <c r="D260" s="4">
        <f>IF(A260="","",SUMIFS('구성품'!$F$2:$F$501,'구성품'!$A$2:$A$501,A260))</f>
        <v/>
      </c>
      <c r="E260" s="2">
        <f>IF(A260="","",COUNTIF('구성품'!$A$2:$A$501,A260))</f>
        <v/>
      </c>
    </row>
    <row r="261">
      <c r="A261" s="3" t="n"/>
      <c r="C261" s="3" t="n"/>
      <c r="D261" s="4">
        <f>IF(A261="","",SUMIFS('구성품'!$F$2:$F$501,'구성품'!$A$2:$A$501,A261))</f>
        <v/>
      </c>
      <c r="E261" s="2">
        <f>IF(A261="","",COUNTIF('구성품'!$A$2:$A$501,A261))</f>
        <v/>
      </c>
    </row>
    <row r="262">
      <c r="A262" s="3" t="n"/>
      <c r="C262" s="3" t="n"/>
      <c r="D262" s="4">
        <f>IF(A262="","",SUMIFS('구성품'!$F$2:$F$501,'구성품'!$A$2:$A$501,A262))</f>
        <v/>
      </c>
      <c r="E262" s="2">
        <f>IF(A262="","",COUNTIF('구성품'!$A$2:$A$501,A262))</f>
        <v/>
      </c>
    </row>
    <row r="263">
      <c r="A263" s="3" t="n"/>
      <c r="C263" s="3" t="n"/>
      <c r="D263" s="4">
        <f>IF(A263="","",SUMIFS('구성품'!$F$2:$F$501,'구성품'!$A$2:$A$501,A263))</f>
        <v/>
      </c>
      <c r="E263" s="2">
        <f>IF(A263="","",COUNTIF('구성품'!$A$2:$A$501,A263))</f>
        <v/>
      </c>
    </row>
    <row r="264">
      <c r="A264" s="3" t="n"/>
      <c r="C264" s="3" t="n"/>
      <c r="D264" s="4">
        <f>IF(A264="","",SUMIFS('구성품'!$F$2:$F$501,'구성품'!$A$2:$A$501,A264))</f>
        <v/>
      </c>
      <c r="E264" s="2">
        <f>IF(A264="","",COUNTIF('구성품'!$A$2:$A$501,A264))</f>
        <v/>
      </c>
    </row>
    <row r="265">
      <c r="A265" s="3" t="n"/>
      <c r="C265" s="3" t="n"/>
      <c r="D265" s="4">
        <f>IF(A265="","",SUMIFS('구성품'!$F$2:$F$501,'구성품'!$A$2:$A$501,A265))</f>
        <v/>
      </c>
      <c r="E265" s="2">
        <f>IF(A265="","",COUNTIF('구성품'!$A$2:$A$501,A265))</f>
        <v/>
      </c>
    </row>
    <row r="266">
      <c r="A266" s="3" t="n"/>
      <c r="C266" s="3" t="n"/>
      <c r="D266" s="4">
        <f>IF(A266="","",SUMIFS('구성품'!$F$2:$F$501,'구성품'!$A$2:$A$501,A266))</f>
        <v/>
      </c>
      <c r="E266" s="2">
        <f>IF(A266="","",COUNTIF('구성품'!$A$2:$A$501,A266))</f>
        <v/>
      </c>
    </row>
    <row r="267">
      <c r="A267" s="3" t="n"/>
      <c r="C267" s="3" t="n"/>
      <c r="D267" s="4">
        <f>IF(A267="","",SUMIFS('구성품'!$F$2:$F$501,'구성품'!$A$2:$A$501,A267))</f>
        <v/>
      </c>
      <c r="E267" s="2">
        <f>IF(A267="","",COUNTIF('구성품'!$A$2:$A$501,A267))</f>
        <v/>
      </c>
    </row>
    <row r="268">
      <c r="A268" s="3" t="n"/>
      <c r="C268" s="3" t="n"/>
      <c r="D268" s="4">
        <f>IF(A268="","",SUMIFS('구성품'!$F$2:$F$501,'구성품'!$A$2:$A$501,A268))</f>
        <v/>
      </c>
      <c r="E268" s="2">
        <f>IF(A268="","",COUNTIF('구성품'!$A$2:$A$501,A268))</f>
        <v/>
      </c>
    </row>
    <row r="269">
      <c r="A269" s="3" t="n"/>
      <c r="C269" s="3" t="n"/>
      <c r="D269" s="4">
        <f>IF(A269="","",SUMIFS('구성품'!$F$2:$F$501,'구성품'!$A$2:$A$501,A269))</f>
        <v/>
      </c>
      <c r="E269" s="2">
        <f>IF(A269="","",COUNTIF('구성품'!$A$2:$A$501,A269))</f>
        <v/>
      </c>
    </row>
    <row r="270">
      <c r="A270" s="3" t="n"/>
      <c r="C270" s="3" t="n"/>
      <c r="D270" s="4">
        <f>IF(A270="","",SUMIFS('구성품'!$F$2:$F$501,'구성품'!$A$2:$A$501,A270))</f>
        <v/>
      </c>
      <c r="E270" s="2">
        <f>IF(A270="","",COUNTIF('구성품'!$A$2:$A$501,A270))</f>
        <v/>
      </c>
    </row>
    <row r="271">
      <c r="A271" s="3" t="n"/>
      <c r="C271" s="3" t="n"/>
      <c r="D271" s="4">
        <f>IF(A271="","",SUMIFS('구성품'!$F$2:$F$501,'구성품'!$A$2:$A$501,A271))</f>
        <v/>
      </c>
      <c r="E271" s="2">
        <f>IF(A271="","",COUNTIF('구성품'!$A$2:$A$501,A271))</f>
        <v/>
      </c>
    </row>
    <row r="272">
      <c r="A272" s="3" t="n"/>
      <c r="C272" s="3" t="n"/>
      <c r="D272" s="4">
        <f>IF(A272="","",SUMIFS('구성품'!$F$2:$F$501,'구성품'!$A$2:$A$501,A272))</f>
        <v/>
      </c>
      <c r="E272" s="2">
        <f>IF(A272="","",COUNTIF('구성품'!$A$2:$A$501,A272))</f>
        <v/>
      </c>
    </row>
    <row r="273">
      <c r="A273" s="3" t="n"/>
      <c r="C273" s="3" t="n"/>
      <c r="D273" s="4">
        <f>IF(A273="","",SUMIFS('구성품'!$F$2:$F$501,'구성품'!$A$2:$A$501,A273))</f>
        <v/>
      </c>
      <c r="E273" s="2">
        <f>IF(A273="","",COUNTIF('구성품'!$A$2:$A$501,A273))</f>
        <v/>
      </c>
    </row>
    <row r="274">
      <c r="A274" s="3" t="n"/>
      <c r="C274" s="3" t="n"/>
      <c r="D274" s="4">
        <f>IF(A274="","",SUMIFS('구성품'!$F$2:$F$501,'구성품'!$A$2:$A$501,A274))</f>
        <v/>
      </c>
      <c r="E274" s="2">
        <f>IF(A274="","",COUNTIF('구성품'!$A$2:$A$501,A274))</f>
        <v/>
      </c>
    </row>
    <row r="275">
      <c r="A275" s="3" t="n"/>
      <c r="C275" s="3" t="n"/>
      <c r="D275" s="4">
        <f>IF(A275="","",SUMIFS('구성품'!$F$2:$F$501,'구성품'!$A$2:$A$501,A275))</f>
        <v/>
      </c>
      <c r="E275" s="2">
        <f>IF(A275="","",COUNTIF('구성품'!$A$2:$A$501,A275))</f>
        <v/>
      </c>
    </row>
    <row r="276">
      <c r="A276" s="3" t="n"/>
      <c r="C276" s="3" t="n"/>
      <c r="D276" s="4">
        <f>IF(A276="","",SUMIFS('구성품'!$F$2:$F$501,'구성품'!$A$2:$A$501,A276))</f>
        <v/>
      </c>
      <c r="E276" s="2">
        <f>IF(A276="","",COUNTIF('구성품'!$A$2:$A$501,A276))</f>
        <v/>
      </c>
    </row>
    <row r="277">
      <c r="A277" s="3" t="n"/>
      <c r="C277" s="3" t="n"/>
      <c r="D277" s="4">
        <f>IF(A277="","",SUMIFS('구성품'!$F$2:$F$501,'구성품'!$A$2:$A$501,A277))</f>
        <v/>
      </c>
      <c r="E277" s="2">
        <f>IF(A277="","",COUNTIF('구성품'!$A$2:$A$501,A277))</f>
        <v/>
      </c>
    </row>
    <row r="278">
      <c r="A278" s="3" t="n"/>
      <c r="C278" s="3" t="n"/>
      <c r="D278" s="4">
        <f>IF(A278="","",SUMIFS('구성품'!$F$2:$F$501,'구성품'!$A$2:$A$501,A278))</f>
        <v/>
      </c>
      <c r="E278" s="2">
        <f>IF(A278="","",COUNTIF('구성품'!$A$2:$A$501,A278))</f>
        <v/>
      </c>
    </row>
    <row r="279">
      <c r="A279" s="3" t="n"/>
      <c r="C279" s="3" t="n"/>
      <c r="D279" s="4">
        <f>IF(A279="","",SUMIFS('구성품'!$F$2:$F$501,'구성품'!$A$2:$A$501,A279))</f>
        <v/>
      </c>
      <c r="E279" s="2">
        <f>IF(A279="","",COUNTIF('구성품'!$A$2:$A$501,A279))</f>
        <v/>
      </c>
    </row>
    <row r="280">
      <c r="A280" s="3" t="n"/>
      <c r="C280" s="3" t="n"/>
      <c r="D280" s="4">
        <f>IF(A280="","",SUMIFS('구성품'!$F$2:$F$501,'구성품'!$A$2:$A$501,A280))</f>
        <v/>
      </c>
      <c r="E280" s="2">
        <f>IF(A280="","",COUNTIF('구성품'!$A$2:$A$501,A280))</f>
        <v/>
      </c>
    </row>
    <row r="281">
      <c r="A281" s="3" t="n"/>
      <c r="C281" s="3" t="n"/>
      <c r="D281" s="4">
        <f>IF(A281="","",SUMIFS('구성품'!$F$2:$F$501,'구성품'!$A$2:$A$501,A281))</f>
        <v/>
      </c>
      <c r="E281" s="2">
        <f>IF(A281="","",COUNTIF('구성품'!$A$2:$A$501,A281))</f>
        <v/>
      </c>
    </row>
    <row r="282">
      <c r="A282" s="3" t="n"/>
      <c r="C282" s="3" t="n"/>
      <c r="D282" s="4">
        <f>IF(A282="","",SUMIFS('구성품'!$F$2:$F$501,'구성품'!$A$2:$A$501,A282))</f>
        <v/>
      </c>
      <c r="E282" s="2">
        <f>IF(A282="","",COUNTIF('구성품'!$A$2:$A$501,A282))</f>
        <v/>
      </c>
    </row>
    <row r="283">
      <c r="A283" s="3" t="n"/>
      <c r="C283" s="3" t="n"/>
      <c r="D283" s="4">
        <f>IF(A283="","",SUMIFS('구성품'!$F$2:$F$501,'구성품'!$A$2:$A$501,A283))</f>
        <v/>
      </c>
      <c r="E283" s="2">
        <f>IF(A283="","",COUNTIF('구성품'!$A$2:$A$501,A283))</f>
        <v/>
      </c>
    </row>
    <row r="284">
      <c r="A284" s="3" t="n"/>
      <c r="C284" s="3" t="n"/>
      <c r="D284" s="4">
        <f>IF(A284="","",SUMIFS('구성품'!$F$2:$F$501,'구성품'!$A$2:$A$501,A284))</f>
        <v/>
      </c>
      <c r="E284" s="2">
        <f>IF(A284="","",COUNTIF('구성품'!$A$2:$A$501,A284))</f>
        <v/>
      </c>
    </row>
    <row r="285">
      <c r="A285" s="3" t="n"/>
      <c r="C285" s="3" t="n"/>
      <c r="D285" s="4">
        <f>IF(A285="","",SUMIFS('구성품'!$F$2:$F$501,'구성품'!$A$2:$A$501,A285))</f>
        <v/>
      </c>
      <c r="E285" s="2">
        <f>IF(A285="","",COUNTIF('구성품'!$A$2:$A$501,A285))</f>
        <v/>
      </c>
    </row>
    <row r="286">
      <c r="A286" s="3" t="n"/>
      <c r="C286" s="3" t="n"/>
      <c r="D286" s="4">
        <f>IF(A286="","",SUMIFS('구성품'!$F$2:$F$501,'구성품'!$A$2:$A$501,A286))</f>
        <v/>
      </c>
      <c r="E286" s="2">
        <f>IF(A286="","",COUNTIF('구성품'!$A$2:$A$501,A286))</f>
        <v/>
      </c>
    </row>
    <row r="287">
      <c r="A287" s="3" t="n"/>
      <c r="C287" s="3" t="n"/>
      <c r="D287" s="4">
        <f>IF(A287="","",SUMIFS('구성품'!$F$2:$F$501,'구성품'!$A$2:$A$501,A287))</f>
        <v/>
      </c>
      <c r="E287" s="2">
        <f>IF(A287="","",COUNTIF('구성품'!$A$2:$A$501,A287))</f>
        <v/>
      </c>
    </row>
    <row r="288">
      <c r="A288" s="3" t="n"/>
      <c r="C288" s="3" t="n"/>
      <c r="D288" s="4">
        <f>IF(A288="","",SUMIFS('구성품'!$F$2:$F$501,'구성품'!$A$2:$A$501,A288))</f>
        <v/>
      </c>
      <c r="E288" s="2">
        <f>IF(A288="","",COUNTIF('구성품'!$A$2:$A$501,A288))</f>
        <v/>
      </c>
    </row>
    <row r="289">
      <c r="A289" s="3" t="n"/>
      <c r="C289" s="3" t="n"/>
      <c r="D289" s="4">
        <f>IF(A289="","",SUMIFS('구성품'!$F$2:$F$501,'구성품'!$A$2:$A$501,A289))</f>
        <v/>
      </c>
      <c r="E289" s="2">
        <f>IF(A289="","",COUNTIF('구성품'!$A$2:$A$501,A289))</f>
        <v/>
      </c>
    </row>
    <row r="290">
      <c r="A290" s="3" t="n"/>
      <c r="C290" s="3" t="n"/>
      <c r="D290" s="4">
        <f>IF(A290="","",SUMIFS('구성품'!$F$2:$F$501,'구성품'!$A$2:$A$501,A290))</f>
        <v/>
      </c>
      <c r="E290" s="2">
        <f>IF(A290="","",COUNTIF('구성품'!$A$2:$A$501,A290))</f>
        <v/>
      </c>
    </row>
    <row r="291">
      <c r="A291" s="3" t="n"/>
      <c r="C291" s="3" t="n"/>
      <c r="D291" s="4">
        <f>IF(A291="","",SUMIFS('구성품'!$F$2:$F$501,'구성품'!$A$2:$A$501,A291))</f>
        <v/>
      </c>
      <c r="E291" s="2">
        <f>IF(A291="","",COUNTIF('구성품'!$A$2:$A$501,A291))</f>
        <v/>
      </c>
    </row>
    <row r="292">
      <c r="A292" s="3" t="n"/>
      <c r="C292" s="3" t="n"/>
      <c r="D292" s="4">
        <f>IF(A292="","",SUMIFS('구성품'!$F$2:$F$501,'구성품'!$A$2:$A$501,A292))</f>
        <v/>
      </c>
      <c r="E292" s="2">
        <f>IF(A292="","",COUNTIF('구성품'!$A$2:$A$501,A292))</f>
        <v/>
      </c>
    </row>
    <row r="293">
      <c r="A293" s="3" t="n"/>
      <c r="C293" s="3" t="n"/>
      <c r="D293" s="4">
        <f>IF(A293="","",SUMIFS('구성품'!$F$2:$F$501,'구성품'!$A$2:$A$501,A293))</f>
        <v/>
      </c>
      <c r="E293" s="2">
        <f>IF(A293="","",COUNTIF('구성품'!$A$2:$A$501,A293))</f>
        <v/>
      </c>
    </row>
    <row r="294">
      <c r="A294" s="3" t="n"/>
      <c r="C294" s="3" t="n"/>
      <c r="D294" s="4">
        <f>IF(A294="","",SUMIFS('구성품'!$F$2:$F$501,'구성품'!$A$2:$A$501,A294))</f>
        <v/>
      </c>
      <c r="E294" s="2">
        <f>IF(A294="","",COUNTIF('구성품'!$A$2:$A$501,A294))</f>
        <v/>
      </c>
    </row>
    <row r="295">
      <c r="A295" s="3" t="n"/>
      <c r="C295" s="3" t="n"/>
      <c r="D295" s="4">
        <f>IF(A295="","",SUMIFS('구성품'!$F$2:$F$501,'구성품'!$A$2:$A$501,A295))</f>
        <v/>
      </c>
      <c r="E295" s="2">
        <f>IF(A295="","",COUNTIF('구성품'!$A$2:$A$501,A295))</f>
        <v/>
      </c>
    </row>
    <row r="296">
      <c r="A296" s="3" t="n"/>
      <c r="C296" s="3" t="n"/>
      <c r="D296" s="4">
        <f>IF(A296="","",SUMIFS('구성품'!$F$2:$F$501,'구성품'!$A$2:$A$501,A296))</f>
        <v/>
      </c>
      <c r="E296" s="2">
        <f>IF(A296="","",COUNTIF('구성품'!$A$2:$A$501,A296))</f>
        <v/>
      </c>
    </row>
    <row r="297">
      <c r="A297" s="3" t="n"/>
      <c r="C297" s="3" t="n"/>
      <c r="D297" s="4">
        <f>IF(A297="","",SUMIFS('구성품'!$F$2:$F$501,'구성품'!$A$2:$A$501,A297))</f>
        <v/>
      </c>
      <c r="E297" s="2">
        <f>IF(A297="","",COUNTIF('구성품'!$A$2:$A$501,A297))</f>
        <v/>
      </c>
    </row>
    <row r="298">
      <c r="A298" s="3" t="n"/>
      <c r="C298" s="3" t="n"/>
      <c r="D298" s="4">
        <f>IF(A298="","",SUMIFS('구성품'!$F$2:$F$501,'구성품'!$A$2:$A$501,A298))</f>
        <v/>
      </c>
      <c r="E298" s="2">
        <f>IF(A298="","",COUNTIF('구성품'!$A$2:$A$501,A298))</f>
        <v/>
      </c>
    </row>
    <row r="299">
      <c r="A299" s="3" t="n"/>
      <c r="C299" s="3" t="n"/>
      <c r="D299" s="4">
        <f>IF(A299="","",SUMIFS('구성품'!$F$2:$F$501,'구성품'!$A$2:$A$501,A299))</f>
        <v/>
      </c>
      <c r="E299" s="2">
        <f>IF(A299="","",COUNTIF('구성품'!$A$2:$A$501,A299))</f>
        <v/>
      </c>
    </row>
    <row r="300">
      <c r="A300" s="3" t="n"/>
      <c r="C300" s="3" t="n"/>
      <c r="D300" s="4">
        <f>IF(A300="","",SUMIFS('구성품'!$F$2:$F$501,'구성품'!$A$2:$A$501,A300))</f>
        <v/>
      </c>
      <c r="E300" s="2">
        <f>IF(A300="","",COUNTIF('구성품'!$A$2:$A$501,A300))</f>
        <v/>
      </c>
    </row>
    <row r="301">
      <c r="A301" s="3" t="n"/>
      <c r="C301" s="3" t="n"/>
      <c r="D301" s="4">
        <f>IF(A301="","",SUMIFS('구성품'!$F$2:$F$501,'구성품'!$A$2:$A$501,A301))</f>
        <v/>
      </c>
      <c r="E301" s="2">
        <f>IF(A301="","",COUNTIF('구성품'!$A$2:$A$501,A301))</f>
        <v/>
      </c>
    </row>
    <row r="302">
      <c r="A302" s="3" t="n"/>
      <c r="C302" s="3" t="n"/>
      <c r="D302" s="4">
        <f>IF(A302="","",SUMIFS('구성품'!$F$2:$F$501,'구성품'!$A$2:$A$501,A302))</f>
        <v/>
      </c>
      <c r="E302" s="2">
        <f>IF(A302="","",COUNTIF('구성품'!$A$2:$A$501,A302))</f>
        <v/>
      </c>
    </row>
    <row r="303">
      <c r="A303" s="3" t="n"/>
      <c r="C303" s="3" t="n"/>
      <c r="D303" s="4">
        <f>IF(A303="","",SUMIFS('구성품'!$F$2:$F$501,'구성품'!$A$2:$A$501,A303))</f>
        <v/>
      </c>
      <c r="E303" s="2">
        <f>IF(A303="","",COUNTIF('구성품'!$A$2:$A$501,A303))</f>
        <v/>
      </c>
    </row>
    <row r="304">
      <c r="A304" s="3" t="n"/>
      <c r="C304" s="3" t="n"/>
      <c r="D304" s="4">
        <f>IF(A304="","",SUMIFS('구성품'!$F$2:$F$501,'구성품'!$A$2:$A$501,A304))</f>
        <v/>
      </c>
      <c r="E304" s="2">
        <f>IF(A304="","",COUNTIF('구성품'!$A$2:$A$501,A304))</f>
        <v/>
      </c>
    </row>
    <row r="305">
      <c r="A305" s="3" t="n"/>
      <c r="C305" s="3" t="n"/>
      <c r="D305" s="4">
        <f>IF(A305="","",SUMIFS('구성품'!$F$2:$F$501,'구성품'!$A$2:$A$501,A305))</f>
        <v/>
      </c>
      <c r="E305" s="2">
        <f>IF(A305="","",COUNTIF('구성품'!$A$2:$A$501,A305))</f>
        <v/>
      </c>
    </row>
    <row r="306">
      <c r="A306" s="3" t="n"/>
      <c r="C306" s="3" t="n"/>
      <c r="D306" s="4">
        <f>IF(A306="","",SUMIFS('구성품'!$F$2:$F$501,'구성품'!$A$2:$A$501,A306))</f>
        <v/>
      </c>
      <c r="E306" s="2">
        <f>IF(A306="","",COUNTIF('구성품'!$A$2:$A$501,A306))</f>
        <v/>
      </c>
    </row>
    <row r="307">
      <c r="A307" s="3" t="n"/>
      <c r="C307" s="3" t="n"/>
      <c r="D307" s="4">
        <f>IF(A307="","",SUMIFS('구성품'!$F$2:$F$501,'구성품'!$A$2:$A$501,A307))</f>
        <v/>
      </c>
      <c r="E307" s="2">
        <f>IF(A307="","",COUNTIF('구성품'!$A$2:$A$501,A307))</f>
        <v/>
      </c>
    </row>
    <row r="308">
      <c r="A308" s="3" t="n"/>
      <c r="C308" s="3" t="n"/>
      <c r="D308" s="4">
        <f>IF(A308="","",SUMIFS('구성품'!$F$2:$F$501,'구성품'!$A$2:$A$501,A308))</f>
        <v/>
      </c>
      <c r="E308" s="2">
        <f>IF(A308="","",COUNTIF('구성품'!$A$2:$A$501,A308))</f>
        <v/>
      </c>
    </row>
    <row r="309">
      <c r="A309" s="3" t="n"/>
      <c r="C309" s="3" t="n"/>
      <c r="D309" s="4">
        <f>IF(A309="","",SUMIFS('구성품'!$F$2:$F$501,'구성품'!$A$2:$A$501,A309))</f>
        <v/>
      </c>
      <c r="E309" s="2">
        <f>IF(A309="","",COUNTIF('구성품'!$A$2:$A$501,A309))</f>
        <v/>
      </c>
    </row>
    <row r="310">
      <c r="A310" s="3" t="n"/>
      <c r="C310" s="3" t="n"/>
      <c r="D310" s="4">
        <f>IF(A310="","",SUMIFS('구성품'!$F$2:$F$501,'구성품'!$A$2:$A$501,A310))</f>
        <v/>
      </c>
      <c r="E310" s="2">
        <f>IF(A310="","",COUNTIF('구성품'!$A$2:$A$501,A310))</f>
        <v/>
      </c>
    </row>
    <row r="311">
      <c r="A311" s="3" t="n"/>
      <c r="C311" s="3" t="n"/>
      <c r="D311" s="4">
        <f>IF(A311="","",SUMIFS('구성품'!$F$2:$F$501,'구성품'!$A$2:$A$501,A311))</f>
        <v/>
      </c>
      <c r="E311" s="2">
        <f>IF(A311="","",COUNTIF('구성품'!$A$2:$A$501,A311))</f>
        <v/>
      </c>
    </row>
    <row r="312">
      <c r="A312" s="3" t="n"/>
      <c r="C312" s="3" t="n"/>
      <c r="D312" s="4">
        <f>IF(A312="","",SUMIFS('구성품'!$F$2:$F$501,'구성품'!$A$2:$A$501,A312))</f>
        <v/>
      </c>
      <c r="E312" s="2">
        <f>IF(A312="","",COUNTIF('구성품'!$A$2:$A$501,A312))</f>
        <v/>
      </c>
    </row>
    <row r="313">
      <c r="A313" s="3" t="n"/>
      <c r="C313" s="3" t="n"/>
      <c r="D313" s="4">
        <f>IF(A313="","",SUMIFS('구성품'!$F$2:$F$501,'구성품'!$A$2:$A$501,A313))</f>
        <v/>
      </c>
      <c r="E313" s="2">
        <f>IF(A313="","",COUNTIF('구성품'!$A$2:$A$501,A313))</f>
        <v/>
      </c>
    </row>
    <row r="314">
      <c r="A314" s="3" t="n"/>
      <c r="C314" s="3" t="n"/>
      <c r="D314" s="4">
        <f>IF(A314="","",SUMIFS('구성품'!$F$2:$F$501,'구성품'!$A$2:$A$501,A314))</f>
        <v/>
      </c>
      <c r="E314" s="2">
        <f>IF(A314="","",COUNTIF('구성품'!$A$2:$A$501,A314))</f>
        <v/>
      </c>
    </row>
    <row r="315">
      <c r="A315" s="3" t="n"/>
      <c r="C315" s="3" t="n"/>
      <c r="D315" s="4">
        <f>IF(A315="","",SUMIFS('구성품'!$F$2:$F$501,'구성품'!$A$2:$A$501,A315))</f>
        <v/>
      </c>
      <c r="E315" s="2">
        <f>IF(A315="","",COUNTIF('구성품'!$A$2:$A$501,A315))</f>
        <v/>
      </c>
    </row>
    <row r="316">
      <c r="A316" s="3" t="n"/>
      <c r="C316" s="3" t="n"/>
      <c r="D316" s="4">
        <f>IF(A316="","",SUMIFS('구성품'!$F$2:$F$501,'구성품'!$A$2:$A$501,A316))</f>
        <v/>
      </c>
      <c r="E316" s="2">
        <f>IF(A316="","",COUNTIF('구성품'!$A$2:$A$501,A316))</f>
        <v/>
      </c>
    </row>
    <row r="317">
      <c r="A317" s="3" t="n"/>
      <c r="C317" s="3" t="n"/>
      <c r="D317" s="4">
        <f>IF(A317="","",SUMIFS('구성품'!$F$2:$F$501,'구성품'!$A$2:$A$501,A317))</f>
        <v/>
      </c>
      <c r="E317" s="2">
        <f>IF(A317="","",COUNTIF('구성품'!$A$2:$A$501,A317))</f>
        <v/>
      </c>
    </row>
    <row r="318">
      <c r="A318" s="3" t="n"/>
      <c r="C318" s="3" t="n"/>
      <c r="D318" s="4">
        <f>IF(A318="","",SUMIFS('구성품'!$F$2:$F$501,'구성품'!$A$2:$A$501,A318))</f>
        <v/>
      </c>
      <c r="E318" s="2">
        <f>IF(A318="","",COUNTIF('구성품'!$A$2:$A$501,A318))</f>
        <v/>
      </c>
    </row>
    <row r="319">
      <c r="A319" s="3" t="n"/>
      <c r="C319" s="3" t="n"/>
      <c r="D319" s="4">
        <f>IF(A319="","",SUMIFS('구성품'!$F$2:$F$501,'구성품'!$A$2:$A$501,A319))</f>
        <v/>
      </c>
      <c r="E319" s="2">
        <f>IF(A319="","",COUNTIF('구성품'!$A$2:$A$501,A319))</f>
        <v/>
      </c>
    </row>
    <row r="320">
      <c r="A320" s="3" t="n"/>
      <c r="C320" s="3" t="n"/>
      <c r="D320" s="4">
        <f>IF(A320="","",SUMIFS('구성품'!$F$2:$F$501,'구성품'!$A$2:$A$501,A320))</f>
        <v/>
      </c>
      <c r="E320" s="2">
        <f>IF(A320="","",COUNTIF('구성품'!$A$2:$A$501,A320))</f>
        <v/>
      </c>
    </row>
    <row r="321">
      <c r="A321" s="3" t="n"/>
      <c r="C321" s="3" t="n"/>
      <c r="D321" s="4">
        <f>IF(A321="","",SUMIFS('구성품'!$F$2:$F$501,'구성품'!$A$2:$A$501,A321))</f>
        <v/>
      </c>
      <c r="E321" s="2">
        <f>IF(A321="","",COUNTIF('구성품'!$A$2:$A$501,A321))</f>
        <v/>
      </c>
    </row>
    <row r="322">
      <c r="A322" s="3" t="n"/>
      <c r="C322" s="3" t="n"/>
      <c r="D322" s="4">
        <f>IF(A322="","",SUMIFS('구성품'!$F$2:$F$501,'구성품'!$A$2:$A$501,A322))</f>
        <v/>
      </c>
      <c r="E322" s="2">
        <f>IF(A322="","",COUNTIF('구성품'!$A$2:$A$501,A322))</f>
        <v/>
      </c>
    </row>
    <row r="323">
      <c r="A323" s="3" t="n"/>
      <c r="C323" s="3" t="n"/>
      <c r="D323" s="4">
        <f>IF(A323="","",SUMIFS('구성품'!$F$2:$F$501,'구성품'!$A$2:$A$501,A323))</f>
        <v/>
      </c>
      <c r="E323" s="2">
        <f>IF(A323="","",COUNTIF('구성품'!$A$2:$A$501,A323))</f>
        <v/>
      </c>
    </row>
    <row r="324">
      <c r="A324" s="3" t="n"/>
      <c r="C324" s="3" t="n"/>
      <c r="D324" s="4">
        <f>IF(A324="","",SUMIFS('구성품'!$F$2:$F$501,'구성품'!$A$2:$A$501,A324))</f>
        <v/>
      </c>
      <c r="E324" s="2">
        <f>IF(A324="","",COUNTIF('구성품'!$A$2:$A$501,A324))</f>
        <v/>
      </c>
    </row>
    <row r="325">
      <c r="A325" s="3" t="n"/>
      <c r="C325" s="3" t="n"/>
      <c r="D325" s="4">
        <f>IF(A325="","",SUMIFS('구성품'!$F$2:$F$501,'구성품'!$A$2:$A$501,A325))</f>
        <v/>
      </c>
      <c r="E325" s="2">
        <f>IF(A325="","",COUNTIF('구성품'!$A$2:$A$501,A325))</f>
        <v/>
      </c>
    </row>
    <row r="326">
      <c r="A326" s="3" t="n"/>
      <c r="C326" s="3" t="n"/>
      <c r="D326" s="4">
        <f>IF(A326="","",SUMIFS('구성품'!$F$2:$F$501,'구성품'!$A$2:$A$501,A326))</f>
        <v/>
      </c>
      <c r="E326" s="2">
        <f>IF(A326="","",COUNTIF('구성품'!$A$2:$A$501,A326))</f>
        <v/>
      </c>
    </row>
    <row r="327">
      <c r="A327" s="3" t="n"/>
      <c r="C327" s="3" t="n"/>
      <c r="D327" s="4">
        <f>IF(A327="","",SUMIFS('구성품'!$F$2:$F$501,'구성품'!$A$2:$A$501,A327))</f>
        <v/>
      </c>
      <c r="E327" s="2">
        <f>IF(A327="","",COUNTIF('구성품'!$A$2:$A$501,A327))</f>
        <v/>
      </c>
    </row>
    <row r="328">
      <c r="A328" s="3" t="n"/>
      <c r="C328" s="3" t="n"/>
      <c r="D328" s="4">
        <f>IF(A328="","",SUMIFS('구성품'!$F$2:$F$501,'구성품'!$A$2:$A$501,A328))</f>
        <v/>
      </c>
      <c r="E328" s="2">
        <f>IF(A328="","",COUNTIF('구성품'!$A$2:$A$501,A328))</f>
        <v/>
      </c>
    </row>
    <row r="329">
      <c r="A329" s="3" t="n"/>
      <c r="C329" s="3" t="n"/>
      <c r="D329" s="4">
        <f>IF(A329="","",SUMIFS('구성품'!$F$2:$F$501,'구성품'!$A$2:$A$501,A329))</f>
        <v/>
      </c>
      <c r="E329" s="2">
        <f>IF(A329="","",COUNTIF('구성품'!$A$2:$A$501,A329))</f>
        <v/>
      </c>
    </row>
    <row r="330">
      <c r="A330" s="3" t="n"/>
      <c r="C330" s="3" t="n"/>
      <c r="D330" s="4">
        <f>IF(A330="","",SUMIFS('구성품'!$F$2:$F$501,'구성품'!$A$2:$A$501,A330))</f>
        <v/>
      </c>
      <c r="E330" s="2">
        <f>IF(A330="","",COUNTIF('구성품'!$A$2:$A$501,A330))</f>
        <v/>
      </c>
    </row>
    <row r="331">
      <c r="A331" s="3" t="n"/>
      <c r="C331" s="3" t="n"/>
      <c r="D331" s="4">
        <f>IF(A331="","",SUMIFS('구성품'!$F$2:$F$501,'구성품'!$A$2:$A$501,A331))</f>
        <v/>
      </c>
      <c r="E331" s="2">
        <f>IF(A331="","",COUNTIF('구성품'!$A$2:$A$501,A331))</f>
        <v/>
      </c>
    </row>
    <row r="332">
      <c r="A332" s="3" t="n"/>
      <c r="C332" s="3" t="n"/>
      <c r="D332" s="4">
        <f>IF(A332="","",SUMIFS('구성품'!$F$2:$F$501,'구성품'!$A$2:$A$501,A332))</f>
        <v/>
      </c>
      <c r="E332" s="2">
        <f>IF(A332="","",COUNTIF('구성품'!$A$2:$A$501,A332))</f>
        <v/>
      </c>
    </row>
    <row r="333">
      <c r="A333" s="3" t="n"/>
      <c r="C333" s="3" t="n"/>
      <c r="D333" s="4">
        <f>IF(A333="","",SUMIFS('구성품'!$F$2:$F$501,'구성품'!$A$2:$A$501,A333))</f>
        <v/>
      </c>
      <c r="E333" s="2">
        <f>IF(A333="","",COUNTIF('구성품'!$A$2:$A$501,A333))</f>
        <v/>
      </c>
    </row>
    <row r="334">
      <c r="A334" s="3" t="n"/>
      <c r="C334" s="3" t="n"/>
      <c r="D334" s="4">
        <f>IF(A334="","",SUMIFS('구성품'!$F$2:$F$501,'구성품'!$A$2:$A$501,A334))</f>
        <v/>
      </c>
      <c r="E334" s="2">
        <f>IF(A334="","",COUNTIF('구성품'!$A$2:$A$501,A334))</f>
        <v/>
      </c>
    </row>
    <row r="335">
      <c r="A335" s="3" t="n"/>
      <c r="C335" s="3" t="n"/>
      <c r="D335" s="4">
        <f>IF(A335="","",SUMIFS('구성품'!$F$2:$F$501,'구성품'!$A$2:$A$501,A335))</f>
        <v/>
      </c>
      <c r="E335" s="2">
        <f>IF(A335="","",COUNTIF('구성품'!$A$2:$A$501,A335))</f>
        <v/>
      </c>
    </row>
    <row r="336">
      <c r="A336" s="3" t="n"/>
      <c r="C336" s="3" t="n"/>
      <c r="D336" s="4">
        <f>IF(A336="","",SUMIFS('구성품'!$F$2:$F$501,'구성품'!$A$2:$A$501,A336))</f>
        <v/>
      </c>
      <c r="E336" s="2">
        <f>IF(A336="","",COUNTIF('구성품'!$A$2:$A$501,A336))</f>
        <v/>
      </c>
    </row>
    <row r="337">
      <c r="A337" s="3" t="n"/>
      <c r="C337" s="3" t="n"/>
      <c r="D337" s="4">
        <f>IF(A337="","",SUMIFS('구성품'!$F$2:$F$501,'구성품'!$A$2:$A$501,A337))</f>
        <v/>
      </c>
      <c r="E337" s="2">
        <f>IF(A337="","",COUNTIF('구성품'!$A$2:$A$501,A337))</f>
        <v/>
      </c>
    </row>
    <row r="338">
      <c r="A338" s="3" t="n"/>
      <c r="C338" s="3" t="n"/>
      <c r="D338" s="4">
        <f>IF(A338="","",SUMIFS('구성품'!$F$2:$F$501,'구성품'!$A$2:$A$501,A338))</f>
        <v/>
      </c>
      <c r="E338" s="2">
        <f>IF(A338="","",COUNTIF('구성품'!$A$2:$A$501,A338))</f>
        <v/>
      </c>
    </row>
    <row r="339">
      <c r="A339" s="3" t="n"/>
      <c r="C339" s="3" t="n"/>
      <c r="D339" s="4">
        <f>IF(A339="","",SUMIFS('구성품'!$F$2:$F$501,'구성품'!$A$2:$A$501,A339))</f>
        <v/>
      </c>
      <c r="E339" s="2">
        <f>IF(A339="","",COUNTIF('구성품'!$A$2:$A$501,A339))</f>
        <v/>
      </c>
    </row>
    <row r="340">
      <c r="A340" s="3" t="n"/>
      <c r="C340" s="3" t="n"/>
      <c r="D340" s="4">
        <f>IF(A340="","",SUMIFS('구성품'!$F$2:$F$501,'구성품'!$A$2:$A$501,A340))</f>
        <v/>
      </c>
      <c r="E340" s="2">
        <f>IF(A340="","",COUNTIF('구성품'!$A$2:$A$501,A340))</f>
        <v/>
      </c>
    </row>
    <row r="341">
      <c r="A341" s="3" t="n"/>
      <c r="C341" s="3" t="n"/>
      <c r="D341" s="4">
        <f>IF(A341="","",SUMIFS('구성품'!$F$2:$F$501,'구성품'!$A$2:$A$501,A341))</f>
        <v/>
      </c>
      <c r="E341" s="2">
        <f>IF(A341="","",COUNTIF('구성품'!$A$2:$A$501,A341))</f>
        <v/>
      </c>
    </row>
    <row r="342">
      <c r="A342" s="3" t="n"/>
      <c r="C342" s="3" t="n"/>
      <c r="D342" s="4">
        <f>IF(A342="","",SUMIFS('구성품'!$F$2:$F$501,'구성품'!$A$2:$A$501,A342))</f>
        <v/>
      </c>
      <c r="E342" s="2">
        <f>IF(A342="","",COUNTIF('구성품'!$A$2:$A$501,A342))</f>
        <v/>
      </c>
    </row>
    <row r="343">
      <c r="A343" s="3" t="n"/>
      <c r="C343" s="3" t="n"/>
      <c r="D343" s="4">
        <f>IF(A343="","",SUMIFS('구성품'!$F$2:$F$501,'구성품'!$A$2:$A$501,A343))</f>
        <v/>
      </c>
      <c r="E343" s="2">
        <f>IF(A343="","",COUNTIF('구성품'!$A$2:$A$501,A343))</f>
        <v/>
      </c>
    </row>
    <row r="344">
      <c r="A344" s="3" t="n"/>
      <c r="C344" s="3" t="n"/>
      <c r="D344" s="4">
        <f>IF(A344="","",SUMIFS('구성품'!$F$2:$F$501,'구성품'!$A$2:$A$501,A344))</f>
        <v/>
      </c>
      <c r="E344" s="2">
        <f>IF(A344="","",COUNTIF('구성품'!$A$2:$A$501,A344))</f>
        <v/>
      </c>
    </row>
    <row r="345">
      <c r="A345" s="3" t="n"/>
      <c r="C345" s="3" t="n"/>
      <c r="D345" s="4">
        <f>IF(A345="","",SUMIFS('구성품'!$F$2:$F$501,'구성품'!$A$2:$A$501,A345))</f>
        <v/>
      </c>
      <c r="E345" s="2">
        <f>IF(A345="","",COUNTIF('구성품'!$A$2:$A$501,A345))</f>
        <v/>
      </c>
    </row>
    <row r="346">
      <c r="A346" s="3" t="n"/>
      <c r="C346" s="3" t="n"/>
      <c r="D346" s="4">
        <f>IF(A346="","",SUMIFS('구성품'!$F$2:$F$501,'구성품'!$A$2:$A$501,A346))</f>
        <v/>
      </c>
      <c r="E346" s="2">
        <f>IF(A346="","",COUNTIF('구성품'!$A$2:$A$501,A346))</f>
        <v/>
      </c>
    </row>
    <row r="347">
      <c r="A347" s="3" t="n"/>
      <c r="C347" s="3" t="n"/>
      <c r="D347" s="4">
        <f>IF(A347="","",SUMIFS('구성품'!$F$2:$F$501,'구성품'!$A$2:$A$501,A347))</f>
        <v/>
      </c>
      <c r="E347" s="2">
        <f>IF(A347="","",COUNTIF('구성품'!$A$2:$A$501,A347))</f>
        <v/>
      </c>
    </row>
    <row r="348">
      <c r="A348" s="3" t="n"/>
      <c r="C348" s="3" t="n"/>
      <c r="D348" s="4">
        <f>IF(A348="","",SUMIFS('구성품'!$F$2:$F$501,'구성품'!$A$2:$A$501,A348))</f>
        <v/>
      </c>
      <c r="E348" s="2">
        <f>IF(A348="","",COUNTIF('구성품'!$A$2:$A$501,A348))</f>
        <v/>
      </c>
    </row>
    <row r="349">
      <c r="A349" s="3" t="n"/>
      <c r="C349" s="3" t="n"/>
      <c r="D349" s="4">
        <f>IF(A349="","",SUMIFS('구성품'!$F$2:$F$501,'구성품'!$A$2:$A$501,A349))</f>
        <v/>
      </c>
      <c r="E349" s="2">
        <f>IF(A349="","",COUNTIF('구성품'!$A$2:$A$501,A349))</f>
        <v/>
      </c>
    </row>
    <row r="350">
      <c r="A350" s="3" t="n"/>
      <c r="C350" s="3" t="n"/>
      <c r="D350" s="4">
        <f>IF(A350="","",SUMIFS('구성품'!$F$2:$F$501,'구성품'!$A$2:$A$501,A350))</f>
        <v/>
      </c>
      <c r="E350" s="2">
        <f>IF(A350="","",COUNTIF('구성품'!$A$2:$A$501,A350))</f>
        <v/>
      </c>
    </row>
    <row r="351">
      <c r="A351" s="3" t="n"/>
      <c r="C351" s="3" t="n"/>
      <c r="D351" s="4">
        <f>IF(A351="","",SUMIFS('구성품'!$F$2:$F$501,'구성품'!$A$2:$A$501,A351))</f>
        <v/>
      </c>
      <c r="E351" s="2">
        <f>IF(A351="","",COUNTIF('구성품'!$A$2:$A$501,A351))</f>
        <v/>
      </c>
    </row>
    <row r="352">
      <c r="A352" s="3" t="n"/>
      <c r="C352" s="3" t="n"/>
      <c r="D352" s="4">
        <f>IF(A352="","",SUMIFS('구성품'!$F$2:$F$501,'구성품'!$A$2:$A$501,A352))</f>
        <v/>
      </c>
      <c r="E352" s="2">
        <f>IF(A352="","",COUNTIF('구성품'!$A$2:$A$501,A352))</f>
        <v/>
      </c>
    </row>
    <row r="353">
      <c r="A353" s="3" t="n"/>
      <c r="C353" s="3" t="n"/>
      <c r="D353" s="4">
        <f>IF(A353="","",SUMIFS('구성품'!$F$2:$F$501,'구성품'!$A$2:$A$501,A353))</f>
        <v/>
      </c>
      <c r="E353" s="2">
        <f>IF(A353="","",COUNTIF('구성품'!$A$2:$A$501,A353))</f>
        <v/>
      </c>
    </row>
    <row r="354">
      <c r="A354" s="3" t="n"/>
      <c r="C354" s="3" t="n"/>
      <c r="D354" s="4">
        <f>IF(A354="","",SUMIFS('구성품'!$F$2:$F$501,'구성품'!$A$2:$A$501,A354))</f>
        <v/>
      </c>
      <c r="E354" s="2">
        <f>IF(A354="","",COUNTIF('구성품'!$A$2:$A$501,A354))</f>
        <v/>
      </c>
    </row>
    <row r="355">
      <c r="A355" s="3" t="n"/>
      <c r="C355" s="3" t="n"/>
      <c r="D355" s="4">
        <f>IF(A355="","",SUMIFS('구성품'!$F$2:$F$501,'구성품'!$A$2:$A$501,A355))</f>
        <v/>
      </c>
      <c r="E355" s="2">
        <f>IF(A355="","",COUNTIF('구성품'!$A$2:$A$501,A355))</f>
        <v/>
      </c>
    </row>
    <row r="356">
      <c r="A356" s="3" t="n"/>
      <c r="C356" s="3" t="n"/>
      <c r="D356" s="4">
        <f>IF(A356="","",SUMIFS('구성품'!$F$2:$F$501,'구성품'!$A$2:$A$501,A356))</f>
        <v/>
      </c>
      <c r="E356" s="2">
        <f>IF(A356="","",COUNTIF('구성품'!$A$2:$A$501,A356))</f>
        <v/>
      </c>
    </row>
    <row r="357">
      <c r="A357" s="3" t="n"/>
      <c r="C357" s="3" t="n"/>
      <c r="D357" s="4">
        <f>IF(A357="","",SUMIFS('구성품'!$F$2:$F$501,'구성품'!$A$2:$A$501,A357))</f>
        <v/>
      </c>
      <c r="E357" s="2">
        <f>IF(A357="","",COUNTIF('구성품'!$A$2:$A$501,A357))</f>
        <v/>
      </c>
    </row>
    <row r="358">
      <c r="A358" s="3" t="n"/>
      <c r="C358" s="3" t="n"/>
      <c r="D358" s="4">
        <f>IF(A358="","",SUMIFS('구성품'!$F$2:$F$501,'구성품'!$A$2:$A$501,A358))</f>
        <v/>
      </c>
      <c r="E358" s="2">
        <f>IF(A358="","",COUNTIF('구성품'!$A$2:$A$501,A358))</f>
        <v/>
      </c>
    </row>
    <row r="359">
      <c r="A359" s="3" t="n"/>
      <c r="C359" s="3" t="n"/>
      <c r="D359" s="4">
        <f>IF(A359="","",SUMIFS('구성품'!$F$2:$F$501,'구성품'!$A$2:$A$501,A359))</f>
        <v/>
      </c>
      <c r="E359" s="2">
        <f>IF(A359="","",COUNTIF('구성품'!$A$2:$A$501,A359))</f>
        <v/>
      </c>
    </row>
    <row r="360">
      <c r="A360" s="3" t="n"/>
      <c r="C360" s="3" t="n"/>
      <c r="D360" s="4">
        <f>IF(A360="","",SUMIFS('구성품'!$F$2:$F$501,'구성품'!$A$2:$A$501,A360))</f>
        <v/>
      </c>
      <c r="E360" s="2">
        <f>IF(A360="","",COUNTIF('구성품'!$A$2:$A$501,A360))</f>
        <v/>
      </c>
    </row>
    <row r="361">
      <c r="A361" s="3" t="n"/>
      <c r="C361" s="3" t="n"/>
      <c r="D361" s="4">
        <f>IF(A361="","",SUMIFS('구성품'!$F$2:$F$501,'구성품'!$A$2:$A$501,A361))</f>
        <v/>
      </c>
      <c r="E361" s="2">
        <f>IF(A361="","",COUNTIF('구성품'!$A$2:$A$501,A361))</f>
        <v/>
      </c>
    </row>
    <row r="362">
      <c r="A362" s="3" t="n"/>
      <c r="C362" s="3" t="n"/>
      <c r="D362" s="4">
        <f>IF(A362="","",SUMIFS('구성품'!$F$2:$F$501,'구성품'!$A$2:$A$501,A362))</f>
        <v/>
      </c>
      <c r="E362" s="2">
        <f>IF(A362="","",COUNTIF('구성품'!$A$2:$A$501,A362))</f>
        <v/>
      </c>
    </row>
    <row r="363">
      <c r="A363" s="3" t="n"/>
      <c r="C363" s="3" t="n"/>
      <c r="D363" s="4">
        <f>IF(A363="","",SUMIFS('구성품'!$F$2:$F$501,'구성품'!$A$2:$A$501,A363))</f>
        <v/>
      </c>
      <c r="E363" s="2">
        <f>IF(A363="","",COUNTIF('구성품'!$A$2:$A$501,A363))</f>
        <v/>
      </c>
    </row>
    <row r="364">
      <c r="A364" s="3" t="n"/>
      <c r="C364" s="3" t="n"/>
      <c r="D364" s="4">
        <f>IF(A364="","",SUMIFS('구성품'!$F$2:$F$501,'구성품'!$A$2:$A$501,A364))</f>
        <v/>
      </c>
      <c r="E364" s="2">
        <f>IF(A364="","",COUNTIF('구성품'!$A$2:$A$501,A364))</f>
        <v/>
      </c>
    </row>
    <row r="365">
      <c r="A365" s="3" t="n"/>
      <c r="C365" s="3" t="n"/>
      <c r="D365" s="4">
        <f>IF(A365="","",SUMIFS('구성품'!$F$2:$F$501,'구성품'!$A$2:$A$501,A365))</f>
        <v/>
      </c>
      <c r="E365" s="2">
        <f>IF(A365="","",COUNTIF('구성품'!$A$2:$A$501,A365))</f>
        <v/>
      </c>
    </row>
    <row r="366">
      <c r="A366" s="3" t="n"/>
      <c r="C366" s="3" t="n"/>
      <c r="D366" s="4">
        <f>IF(A366="","",SUMIFS('구성품'!$F$2:$F$501,'구성품'!$A$2:$A$501,A366))</f>
        <v/>
      </c>
      <c r="E366" s="2">
        <f>IF(A366="","",COUNTIF('구성품'!$A$2:$A$501,A366))</f>
        <v/>
      </c>
    </row>
    <row r="367">
      <c r="A367" s="3" t="n"/>
      <c r="C367" s="3" t="n"/>
      <c r="D367" s="4">
        <f>IF(A367="","",SUMIFS('구성품'!$F$2:$F$501,'구성품'!$A$2:$A$501,A367))</f>
        <v/>
      </c>
      <c r="E367" s="2">
        <f>IF(A367="","",COUNTIF('구성품'!$A$2:$A$501,A367))</f>
        <v/>
      </c>
    </row>
    <row r="368">
      <c r="A368" s="3" t="n"/>
      <c r="C368" s="3" t="n"/>
      <c r="D368" s="4">
        <f>IF(A368="","",SUMIFS('구성품'!$F$2:$F$501,'구성품'!$A$2:$A$501,A368))</f>
        <v/>
      </c>
      <c r="E368" s="2">
        <f>IF(A368="","",COUNTIF('구성품'!$A$2:$A$501,A368))</f>
        <v/>
      </c>
    </row>
    <row r="369">
      <c r="A369" s="3" t="n"/>
      <c r="C369" s="3" t="n"/>
      <c r="D369" s="4">
        <f>IF(A369="","",SUMIFS('구성품'!$F$2:$F$501,'구성품'!$A$2:$A$501,A369))</f>
        <v/>
      </c>
      <c r="E369" s="2">
        <f>IF(A369="","",COUNTIF('구성품'!$A$2:$A$501,A369))</f>
        <v/>
      </c>
    </row>
    <row r="370">
      <c r="A370" s="3" t="n"/>
      <c r="C370" s="3" t="n"/>
      <c r="D370" s="4">
        <f>IF(A370="","",SUMIFS('구성품'!$F$2:$F$501,'구성품'!$A$2:$A$501,A370))</f>
        <v/>
      </c>
      <c r="E370" s="2">
        <f>IF(A370="","",COUNTIF('구성품'!$A$2:$A$501,A370))</f>
        <v/>
      </c>
    </row>
    <row r="371">
      <c r="A371" s="3" t="n"/>
      <c r="C371" s="3" t="n"/>
      <c r="D371" s="4">
        <f>IF(A371="","",SUMIFS('구성품'!$F$2:$F$501,'구성품'!$A$2:$A$501,A371))</f>
        <v/>
      </c>
      <c r="E371" s="2">
        <f>IF(A371="","",COUNTIF('구성품'!$A$2:$A$501,A371))</f>
        <v/>
      </c>
    </row>
    <row r="372">
      <c r="A372" s="3" t="n"/>
      <c r="C372" s="3" t="n"/>
      <c r="D372" s="4">
        <f>IF(A372="","",SUMIFS('구성품'!$F$2:$F$501,'구성품'!$A$2:$A$501,A372))</f>
        <v/>
      </c>
      <c r="E372" s="2">
        <f>IF(A372="","",COUNTIF('구성품'!$A$2:$A$501,A372))</f>
        <v/>
      </c>
    </row>
    <row r="373">
      <c r="A373" s="3" t="n"/>
      <c r="C373" s="3" t="n"/>
      <c r="D373" s="4">
        <f>IF(A373="","",SUMIFS('구성품'!$F$2:$F$501,'구성품'!$A$2:$A$501,A373))</f>
        <v/>
      </c>
      <c r="E373" s="2">
        <f>IF(A373="","",COUNTIF('구성품'!$A$2:$A$501,A373))</f>
        <v/>
      </c>
    </row>
    <row r="374">
      <c r="A374" s="3" t="n"/>
      <c r="C374" s="3" t="n"/>
      <c r="D374" s="4">
        <f>IF(A374="","",SUMIFS('구성품'!$F$2:$F$501,'구성품'!$A$2:$A$501,A374))</f>
        <v/>
      </c>
      <c r="E374" s="2">
        <f>IF(A374="","",COUNTIF('구성품'!$A$2:$A$501,A374))</f>
        <v/>
      </c>
    </row>
    <row r="375">
      <c r="A375" s="3" t="n"/>
      <c r="C375" s="3" t="n"/>
      <c r="D375" s="4">
        <f>IF(A375="","",SUMIFS('구성품'!$F$2:$F$501,'구성품'!$A$2:$A$501,A375))</f>
        <v/>
      </c>
      <c r="E375" s="2">
        <f>IF(A375="","",COUNTIF('구성품'!$A$2:$A$501,A375))</f>
        <v/>
      </c>
    </row>
    <row r="376">
      <c r="A376" s="3" t="n"/>
      <c r="C376" s="3" t="n"/>
      <c r="D376" s="4">
        <f>IF(A376="","",SUMIFS('구성품'!$F$2:$F$501,'구성품'!$A$2:$A$501,A376))</f>
        <v/>
      </c>
      <c r="E376" s="2">
        <f>IF(A376="","",COUNTIF('구성품'!$A$2:$A$501,A376))</f>
        <v/>
      </c>
    </row>
    <row r="377">
      <c r="A377" s="3" t="n"/>
      <c r="C377" s="3" t="n"/>
      <c r="D377" s="4">
        <f>IF(A377="","",SUMIFS('구성품'!$F$2:$F$501,'구성품'!$A$2:$A$501,A377))</f>
        <v/>
      </c>
      <c r="E377" s="2">
        <f>IF(A377="","",COUNTIF('구성품'!$A$2:$A$501,A377))</f>
        <v/>
      </c>
    </row>
    <row r="378">
      <c r="A378" s="3" t="n"/>
      <c r="C378" s="3" t="n"/>
      <c r="D378" s="4">
        <f>IF(A378="","",SUMIFS('구성품'!$F$2:$F$501,'구성품'!$A$2:$A$501,A378))</f>
        <v/>
      </c>
      <c r="E378" s="2">
        <f>IF(A378="","",COUNTIF('구성품'!$A$2:$A$501,A378))</f>
        <v/>
      </c>
    </row>
    <row r="379">
      <c r="A379" s="3" t="n"/>
      <c r="C379" s="3" t="n"/>
      <c r="D379" s="4">
        <f>IF(A379="","",SUMIFS('구성품'!$F$2:$F$501,'구성품'!$A$2:$A$501,A379))</f>
        <v/>
      </c>
      <c r="E379" s="2">
        <f>IF(A379="","",COUNTIF('구성품'!$A$2:$A$501,A379))</f>
        <v/>
      </c>
    </row>
    <row r="380">
      <c r="A380" s="3" t="n"/>
      <c r="C380" s="3" t="n"/>
      <c r="D380" s="4">
        <f>IF(A380="","",SUMIFS('구성품'!$F$2:$F$501,'구성품'!$A$2:$A$501,A380))</f>
        <v/>
      </c>
      <c r="E380" s="2">
        <f>IF(A380="","",COUNTIF('구성품'!$A$2:$A$501,A380))</f>
        <v/>
      </c>
    </row>
    <row r="381">
      <c r="A381" s="3" t="n"/>
      <c r="C381" s="3" t="n"/>
      <c r="D381" s="4">
        <f>IF(A381="","",SUMIFS('구성품'!$F$2:$F$501,'구성품'!$A$2:$A$501,A381))</f>
        <v/>
      </c>
      <c r="E381" s="2">
        <f>IF(A381="","",COUNTIF('구성품'!$A$2:$A$501,A381))</f>
        <v/>
      </c>
    </row>
    <row r="382">
      <c r="A382" s="3" t="n"/>
      <c r="C382" s="3" t="n"/>
      <c r="D382" s="4">
        <f>IF(A382="","",SUMIFS('구성품'!$F$2:$F$501,'구성품'!$A$2:$A$501,A382))</f>
        <v/>
      </c>
      <c r="E382" s="2">
        <f>IF(A382="","",COUNTIF('구성품'!$A$2:$A$501,A382))</f>
        <v/>
      </c>
    </row>
    <row r="383">
      <c r="A383" s="3" t="n"/>
      <c r="C383" s="3" t="n"/>
      <c r="D383" s="4">
        <f>IF(A383="","",SUMIFS('구성품'!$F$2:$F$501,'구성품'!$A$2:$A$501,A383))</f>
        <v/>
      </c>
      <c r="E383" s="2">
        <f>IF(A383="","",COUNTIF('구성품'!$A$2:$A$501,A383))</f>
        <v/>
      </c>
    </row>
    <row r="384">
      <c r="A384" s="3" t="n"/>
      <c r="C384" s="3" t="n"/>
      <c r="D384" s="4">
        <f>IF(A384="","",SUMIFS('구성품'!$F$2:$F$501,'구성품'!$A$2:$A$501,A384))</f>
        <v/>
      </c>
      <c r="E384" s="2">
        <f>IF(A384="","",COUNTIF('구성품'!$A$2:$A$501,A384))</f>
        <v/>
      </c>
    </row>
    <row r="385">
      <c r="A385" s="3" t="n"/>
      <c r="C385" s="3" t="n"/>
      <c r="D385" s="4">
        <f>IF(A385="","",SUMIFS('구성품'!$F$2:$F$501,'구성품'!$A$2:$A$501,A385))</f>
        <v/>
      </c>
      <c r="E385" s="2">
        <f>IF(A385="","",COUNTIF('구성품'!$A$2:$A$501,A385))</f>
        <v/>
      </c>
    </row>
    <row r="386">
      <c r="A386" s="3" t="n"/>
      <c r="C386" s="3" t="n"/>
      <c r="D386" s="4">
        <f>IF(A386="","",SUMIFS('구성품'!$F$2:$F$501,'구성품'!$A$2:$A$501,A386))</f>
        <v/>
      </c>
      <c r="E386" s="2">
        <f>IF(A386="","",COUNTIF('구성품'!$A$2:$A$501,A386))</f>
        <v/>
      </c>
    </row>
    <row r="387">
      <c r="A387" s="3" t="n"/>
      <c r="C387" s="3" t="n"/>
      <c r="D387" s="4">
        <f>IF(A387="","",SUMIFS('구성품'!$F$2:$F$501,'구성품'!$A$2:$A$501,A387))</f>
        <v/>
      </c>
      <c r="E387" s="2">
        <f>IF(A387="","",COUNTIF('구성품'!$A$2:$A$501,A387))</f>
        <v/>
      </c>
    </row>
    <row r="388">
      <c r="A388" s="3" t="n"/>
      <c r="C388" s="3" t="n"/>
      <c r="D388" s="4">
        <f>IF(A388="","",SUMIFS('구성품'!$F$2:$F$501,'구성품'!$A$2:$A$501,A388))</f>
        <v/>
      </c>
      <c r="E388" s="2">
        <f>IF(A388="","",COUNTIF('구성품'!$A$2:$A$501,A388))</f>
        <v/>
      </c>
    </row>
    <row r="389">
      <c r="A389" s="3" t="n"/>
      <c r="C389" s="3" t="n"/>
      <c r="D389" s="4">
        <f>IF(A389="","",SUMIFS('구성품'!$F$2:$F$501,'구성품'!$A$2:$A$501,A389))</f>
        <v/>
      </c>
      <c r="E389" s="2">
        <f>IF(A389="","",COUNTIF('구성품'!$A$2:$A$501,A389))</f>
        <v/>
      </c>
    </row>
    <row r="390">
      <c r="A390" s="3" t="n"/>
      <c r="C390" s="3" t="n"/>
      <c r="D390" s="4">
        <f>IF(A390="","",SUMIFS('구성품'!$F$2:$F$501,'구성품'!$A$2:$A$501,A390))</f>
        <v/>
      </c>
      <c r="E390" s="2">
        <f>IF(A390="","",COUNTIF('구성품'!$A$2:$A$501,A390))</f>
        <v/>
      </c>
    </row>
    <row r="391">
      <c r="A391" s="3" t="n"/>
      <c r="C391" s="3" t="n"/>
      <c r="D391" s="4">
        <f>IF(A391="","",SUMIFS('구성품'!$F$2:$F$501,'구성품'!$A$2:$A$501,A391))</f>
        <v/>
      </c>
      <c r="E391" s="2">
        <f>IF(A391="","",COUNTIF('구성품'!$A$2:$A$501,A391))</f>
        <v/>
      </c>
    </row>
    <row r="392">
      <c r="A392" s="3" t="n"/>
      <c r="C392" s="3" t="n"/>
      <c r="D392" s="4">
        <f>IF(A392="","",SUMIFS('구성품'!$F$2:$F$501,'구성품'!$A$2:$A$501,A392))</f>
        <v/>
      </c>
      <c r="E392" s="2">
        <f>IF(A392="","",COUNTIF('구성품'!$A$2:$A$501,A392))</f>
        <v/>
      </c>
    </row>
    <row r="393">
      <c r="A393" s="3" t="n"/>
      <c r="C393" s="3" t="n"/>
      <c r="D393" s="4">
        <f>IF(A393="","",SUMIFS('구성품'!$F$2:$F$501,'구성품'!$A$2:$A$501,A393))</f>
        <v/>
      </c>
      <c r="E393" s="2">
        <f>IF(A393="","",COUNTIF('구성품'!$A$2:$A$501,A393))</f>
        <v/>
      </c>
    </row>
    <row r="394">
      <c r="A394" s="3" t="n"/>
      <c r="C394" s="3" t="n"/>
      <c r="D394" s="4">
        <f>IF(A394="","",SUMIFS('구성품'!$F$2:$F$501,'구성품'!$A$2:$A$501,A394))</f>
        <v/>
      </c>
      <c r="E394" s="2">
        <f>IF(A394="","",COUNTIF('구성품'!$A$2:$A$501,A394))</f>
        <v/>
      </c>
    </row>
    <row r="395">
      <c r="A395" s="3" t="n"/>
      <c r="C395" s="3" t="n"/>
      <c r="D395" s="4">
        <f>IF(A395="","",SUMIFS('구성품'!$F$2:$F$501,'구성품'!$A$2:$A$501,A395))</f>
        <v/>
      </c>
      <c r="E395" s="2">
        <f>IF(A395="","",COUNTIF('구성품'!$A$2:$A$501,A395))</f>
        <v/>
      </c>
    </row>
    <row r="396">
      <c r="A396" s="3" t="n"/>
      <c r="C396" s="3" t="n"/>
      <c r="D396" s="4">
        <f>IF(A396="","",SUMIFS('구성품'!$F$2:$F$501,'구성품'!$A$2:$A$501,A396))</f>
        <v/>
      </c>
      <c r="E396" s="2">
        <f>IF(A396="","",COUNTIF('구성품'!$A$2:$A$501,A396))</f>
        <v/>
      </c>
    </row>
    <row r="397">
      <c r="A397" s="3" t="n"/>
      <c r="C397" s="3" t="n"/>
      <c r="D397" s="4">
        <f>IF(A397="","",SUMIFS('구성품'!$F$2:$F$501,'구성품'!$A$2:$A$501,A397))</f>
        <v/>
      </c>
      <c r="E397" s="2">
        <f>IF(A397="","",COUNTIF('구성품'!$A$2:$A$501,A397))</f>
        <v/>
      </c>
    </row>
    <row r="398">
      <c r="A398" s="3" t="n"/>
      <c r="C398" s="3" t="n"/>
      <c r="D398" s="4">
        <f>IF(A398="","",SUMIFS('구성품'!$F$2:$F$501,'구성품'!$A$2:$A$501,A398))</f>
        <v/>
      </c>
      <c r="E398" s="2">
        <f>IF(A398="","",COUNTIF('구성품'!$A$2:$A$501,A398))</f>
        <v/>
      </c>
    </row>
    <row r="399">
      <c r="A399" s="3" t="n"/>
      <c r="C399" s="3" t="n"/>
      <c r="D399" s="4">
        <f>IF(A399="","",SUMIFS('구성품'!$F$2:$F$501,'구성품'!$A$2:$A$501,A399))</f>
        <v/>
      </c>
      <c r="E399" s="2">
        <f>IF(A399="","",COUNTIF('구성품'!$A$2:$A$501,A399))</f>
        <v/>
      </c>
    </row>
    <row r="400">
      <c r="A400" s="3" t="n"/>
      <c r="C400" s="3" t="n"/>
      <c r="D400" s="4">
        <f>IF(A400="","",SUMIFS('구성품'!$F$2:$F$501,'구성품'!$A$2:$A$501,A400))</f>
        <v/>
      </c>
      <c r="E400" s="2">
        <f>IF(A400="","",COUNTIF('구성품'!$A$2:$A$501,A400))</f>
        <v/>
      </c>
    </row>
    <row r="401">
      <c r="A401" s="3" t="n"/>
      <c r="C401" s="3" t="n"/>
      <c r="D401" s="4">
        <f>IF(A401="","",SUMIFS('구성품'!$F$2:$F$501,'구성품'!$A$2:$A$501,A401))</f>
        <v/>
      </c>
      <c r="E401" s="2">
        <f>IF(A401="","",COUNTIF('구성품'!$A$2:$A$501,A401))</f>
        <v/>
      </c>
    </row>
    <row r="402">
      <c r="A402" s="3" t="n"/>
      <c r="C402" s="3" t="n"/>
      <c r="D402" s="4">
        <f>IF(A402="","",SUMIFS('구성품'!$F$2:$F$501,'구성품'!$A$2:$A$501,A402))</f>
        <v/>
      </c>
      <c r="E402" s="2">
        <f>IF(A402="","",COUNTIF('구성품'!$A$2:$A$501,A402))</f>
        <v/>
      </c>
    </row>
    <row r="403">
      <c r="A403" s="3" t="n"/>
      <c r="C403" s="3" t="n"/>
      <c r="D403" s="4">
        <f>IF(A403="","",SUMIFS('구성품'!$F$2:$F$501,'구성품'!$A$2:$A$501,A403))</f>
        <v/>
      </c>
      <c r="E403" s="2">
        <f>IF(A403="","",COUNTIF('구성품'!$A$2:$A$501,A403))</f>
        <v/>
      </c>
    </row>
    <row r="404">
      <c r="A404" s="3" t="n"/>
      <c r="C404" s="3" t="n"/>
      <c r="D404" s="4">
        <f>IF(A404="","",SUMIFS('구성품'!$F$2:$F$501,'구성품'!$A$2:$A$501,A404))</f>
        <v/>
      </c>
      <c r="E404" s="2">
        <f>IF(A404="","",COUNTIF('구성품'!$A$2:$A$501,A404))</f>
        <v/>
      </c>
    </row>
    <row r="405">
      <c r="A405" s="3" t="n"/>
      <c r="C405" s="3" t="n"/>
      <c r="D405" s="4">
        <f>IF(A405="","",SUMIFS('구성품'!$F$2:$F$501,'구성품'!$A$2:$A$501,A405))</f>
        <v/>
      </c>
      <c r="E405" s="2">
        <f>IF(A405="","",COUNTIF('구성품'!$A$2:$A$501,A405))</f>
        <v/>
      </c>
    </row>
    <row r="406">
      <c r="A406" s="3" t="n"/>
      <c r="C406" s="3" t="n"/>
      <c r="D406" s="4">
        <f>IF(A406="","",SUMIFS('구성품'!$F$2:$F$501,'구성품'!$A$2:$A$501,A406))</f>
        <v/>
      </c>
      <c r="E406" s="2">
        <f>IF(A406="","",COUNTIF('구성품'!$A$2:$A$501,A406))</f>
        <v/>
      </c>
    </row>
    <row r="407">
      <c r="A407" s="3" t="n"/>
      <c r="C407" s="3" t="n"/>
      <c r="D407" s="4">
        <f>IF(A407="","",SUMIFS('구성품'!$F$2:$F$501,'구성품'!$A$2:$A$501,A407))</f>
        <v/>
      </c>
      <c r="E407" s="2">
        <f>IF(A407="","",COUNTIF('구성품'!$A$2:$A$501,A407))</f>
        <v/>
      </c>
    </row>
    <row r="408">
      <c r="A408" s="3" t="n"/>
      <c r="C408" s="3" t="n"/>
      <c r="D408" s="4">
        <f>IF(A408="","",SUMIFS('구성품'!$F$2:$F$501,'구성품'!$A$2:$A$501,A408))</f>
        <v/>
      </c>
      <c r="E408" s="2">
        <f>IF(A408="","",COUNTIF('구성품'!$A$2:$A$501,A408))</f>
        <v/>
      </c>
    </row>
    <row r="409">
      <c r="A409" s="3" t="n"/>
      <c r="C409" s="3" t="n"/>
      <c r="D409" s="4">
        <f>IF(A409="","",SUMIFS('구성품'!$F$2:$F$501,'구성품'!$A$2:$A$501,A409))</f>
        <v/>
      </c>
      <c r="E409" s="2">
        <f>IF(A409="","",COUNTIF('구성품'!$A$2:$A$501,A409))</f>
        <v/>
      </c>
    </row>
    <row r="410">
      <c r="A410" s="3" t="n"/>
      <c r="C410" s="3" t="n"/>
      <c r="D410" s="4">
        <f>IF(A410="","",SUMIFS('구성품'!$F$2:$F$501,'구성품'!$A$2:$A$501,A410))</f>
        <v/>
      </c>
      <c r="E410" s="2">
        <f>IF(A410="","",COUNTIF('구성품'!$A$2:$A$501,A410))</f>
        <v/>
      </c>
    </row>
    <row r="411">
      <c r="A411" s="3" t="n"/>
      <c r="C411" s="3" t="n"/>
      <c r="D411" s="4">
        <f>IF(A411="","",SUMIFS('구성품'!$F$2:$F$501,'구성품'!$A$2:$A$501,A411))</f>
        <v/>
      </c>
      <c r="E411" s="2">
        <f>IF(A411="","",COUNTIF('구성품'!$A$2:$A$501,A411))</f>
        <v/>
      </c>
    </row>
    <row r="412">
      <c r="A412" s="3" t="n"/>
      <c r="C412" s="3" t="n"/>
      <c r="D412" s="4">
        <f>IF(A412="","",SUMIFS('구성품'!$F$2:$F$501,'구성품'!$A$2:$A$501,A412))</f>
        <v/>
      </c>
      <c r="E412" s="2">
        <f>IF(A412="","",COUNTIF('구성품'!$A$2:$A$501,A412))</f>
        <v/>
      </c>
    </row>
    <row r="413">
      <c r="A413" s="3" t="n"/>
      <c r="C413" s="3" t="n"/>
      <c r="D413" s="4">
        <f>IF(A413="","",SUMIFS('구성품'!$F$2:$F$501,'구성품'!$A$2:$A$501,A413))</f>
        <v/>
      </c>
      <c r="E413" s="2">
        <f>IF(A413="","",COUNTIF('구성품'!$A$2:$A$501,A413))</f>
        <v/>
      </c>
    </row>
    <row r="414">
      <c r="A414" s="3" t="n"/>
      <c r="C414" s="3" t="n"/>
      <c r="D414" s="4">
        <f>IF(A414="","",SUMIFS('구성품'!$F$2:$F$501,'구성품'!$A$2:$A$501,A414))</f>
        <v/>
      </c>
      <c r="E414" s="2">
        <f>IF(A414="","",COUNTIF('구성품'!$A$2:$A$501,A414))</f>
        <v/>
      </c>
    </row>
    <row r="415">
      <c r="A415" s="3" t="n"/>
      <c r="C415" s="3" t="n"/>
      <c r="D415" s="4">
        <f>IF(A415="","",SUMIFS('구성품'!$F$2:$F$501,'구성품'!$A$2:$A$501,A415))</f>
        <v/>
      </c>
      <c r="E415" s="2">
        <f>IF(A415="","",COUNTIF('구성품'!$A$2:$A$501,A415))</f>
        <v/>
      </c>
    </row>
    <row r="416">
      <c r="A416" s="3" t="n"/>
      <c r="C416" s="3" t="n"/>
      <c r="D416" s="4">
        <f>IF(A416="","",SUMIFS('구성품'!$F$2:$F$501,'구성품'!$A$2:$A$501,A416))</f>
        <v/>
      </c>
      <c r="E416" s="2">
        <f>IF(A416="","",COUNTIF('구성품'!$A$2:$A$501,A416))</f>
        <v/>
      </c>
    </row>
    <row r="417">
      <c r="A417" s="3" t="n"/>
      <c r="C417" s="3" t="n"/>
      <c r="D417" s="4">
        <f>IF(A417="","",SUMIFS('구성품'!$F$2:$F$501,'구성품'!$A$2:$A$501,A417))</f>
        <v/>
      </c>
      <c r="E417" s="2">
        <f>IF(A417="","",COUNTIF('구성품'!$A$2:$A$501,A417))</f>
        <v/>
      </c>
    </row>
    <row r="418">
      <c r="A418" s="3" t="n"/>
      <c r="C418" s="3" t="n"/>
      <c r="D418" s="4">
        <f>IF(A418="","",SUMIFS('구성품'!$F$2:$F$501,'구성품'!$A$2:$A$501,A418))</f>
        <v/>
      </c>
      <c r="E418" s="2">
        <f>IF(A418="","",COUNTIF('구성품'!$A$2:$A$501,A418))</f>
        <v/>
      </c>
    </row>
    <row r="419">
      <c r="A419" s="3" t="n"/>
      <c r="C419" s="3" t="n"/>
      <c r="D419" s="4">
        <f>IF(A419="","",SUMIFS('구성품'!$F$2:$F$501,'구성품'!$A$2:$A$501,A419))</f>
        <v/>
      </c>
      <c r="E419" s="2">
        <f>IF(A419="","",COUNTIF('구성품'!$A$2:$A$501,A419))</f>
        <v/>
      </c>
    </row>
    <row r="420">
      <c r="A420" s="3" t="n"/>
      <c r="C420" s="3" t="n"/>
      <c r="D420" s="4">
        <f>IF(A420="","",SUMIFS('구성품'!$F$2:$F$501,'구성품'!$A$2:$A$501,A420))</f>
        <v/>
      </c>
      <c r="E420" s="2">
        <f>IF(A420="","",COUNTIF('구성품'!$A$2:$A$501,A420))</f>
        <v/>
      </c>
    </row>
    <row r="421">
      <c r="A421" s="3" t="n"/>
      <c r="C421" s="3" t="n"/>
      <c r="D421" s="4">
        <f>IF(A421="","",SUMIFS('구성품'!$F$2:$F$501,'구성품'!$A$2:$A$501,A421))</f>
        <v/>
      </c>
      <c r="E421" s="2">
        <f>IF(A421="","",COUNTIF('구성품'!$A$2:$A$501,A421))</f>
        <v/>
      </c>
    </row>
    <row r="422">
      <c r="A422" s="3" t="n"/>
      <c r="C422" s="3" t="n"/>
      <c r="D422" s="4">
        <f>IF(A422="","",SUMIFS('구성품'!$F$2:$F$501,'구성품'!$A$2:$A$501,A422))</f>
        <v/>
      </c>
      <c r="E422" s="2">
        <f>IF(A422="","",COUNTIF('구성품'!$A$2:$A$501,A422))</f>
        <v/>
      </c>
    </row>
    <row r="423">
      <c r="A423" s="3" t="n"/>
      <c r="C423" s="3" t="n"/>
      <c r="D423" s="4">
        <f>IF(A423="","",SUMIFS('구성품'!$F$2:$F$501,'구성품'!$A$2:$A$501,A423))</f>
        <v/>
      </c>
      <c r="E423" s="2">
        <f>IF(A423="","",COUNTIF('구성품'!$A$2:$A$501,A423))</f>
        <v/>
      </c>
    </row>
    <row r="424">
      <c r="A424" s="3" t="n"/>
      <c r="C424" s="3" t="n"/>
      <c r="D424" s="4">
        <f>IF(A424="","",SUMIFS('구성품'!$F$2:$F$501,'구성품'!$A$2:$A$501,A424))</f>
        <v/>
      </c>
      <c r="E424" s="2">
        <f>IF(A424="","",COUNTIF('구성품'!$A$2:$A$501,A424))</f>
        <v/>
      </c>
    </row>
    <row r="425">
      <c r="A425" s="3" t="n"/>
      <c r="C425" s="3" t="n"/>
      <c r="D425" s="4">
        <f>IF(A425="","",SUMIFS('구성품'!$F$2:$F$501,'구성품'!$A$2:$A$501,A425))</f>
        <v/>
      </c>
      <c r="E425" s="2">
        <f>IF(A425="","",COUNTIF('구성품'!$A$2:$A$501,A425))</f>
        <v/>
      </c>
    </row>
    <row r="426">
      <c r="A426" s="3" t="n"/>
      <c r="C426" s="3" t="n"/>
      <c r="D426" s="4">
        <f>IF(A426="","",SUMIFS('구성품'!$F$2:$F$501,'구성품'!$A$2:$A$501,A426))</f>
        <v/>
      </c>
      <c r="E426" s="2">
        <f>IF(A426="","",COUNTIF('구성품'!$A$2:$A$501,A426))</f>
        <v/>
      </c>
    </row>
    <row r="427">
      <c r="A427" s="3" t="n"/>
      <c r="C427" s="3" t="n"/>
      <c r="D427" s="4">
        <f>IF(A427="","",SUMIFS('구성품'!$F$2:$F$501,'구성품'!$A$2:$A$501,A427))</f>
        <v/>
      </c>
      <c r="E427" s="2">
        <f>IF(A427="","",COUNTIF('구성품'!$A$2:$A$501,A427))</f>
        <v/>
      </c>
    </row>
    <row r="428">
      <c r="A428" s="3" t="n"/>
      <c r="C428" s="3" t="n"/>
      <c r="D428" s="4">
        <f>IF(A428="","",SUMIFS('구성품'!$F$2:$F$501,'구성품'!$A$2:$A$501,A428))</f>
        <v/>
      </c>
      <c r="E428" s="2">
        <f>IF(A428="","",COUNTIF('구성품'!$A$2:$A$501,A428))</f>
        <v/>
      </c>
    </row>
    <row r="429">
      <c r="A429" s="3" t="n"/>
      <c r="C429" s="3" t="n"/>
      <c r="D429" s="4">
        <f>IF(A429="","",SUMIFS('구성품'!$F$2:$F$501,'구성품'!$A$2:$A$501,A429))</f>
        <v/>
      </c>
      <c r="E429" s="2">
        <f>IF(A429="","",COUNTIF('구성품'!$A$2:$A$501,A429))</f>
        <v/>
      </c>
    </row>
    <row r="430">
      <c r="A430" s="3" t="n"/>
      <c r="C430" s="3" t="n"/>
      <c r="D430" s="4">
        <f>IF(A430="","",SUMIFS('구성품'!$F$2:$F$501,'구성품'!$A$2:$A$501,A430))</f>
        <v/>
      </c>
      <c r="E430" s="2">
        <f>IF(A430="","",COUNTIF('구성품'!$A$2:$A$501,A430))</f>
        <v/>
      </c>
    </row>
    <row r="431">
      <c r="A431" s="3" t="n"/>
      <c r="C431" s="3" t="n"/>
      <c r="D431" s="4">
        <f>IF(A431="","",SUMIFS('구성품'!$F$2:$F$501,'구성품'!$A$2:$A$501,A431))</f>
        <v/>
      </c>
      <c r="E431" s="2">
        <f>IF(A431="","",COUNTIF('구성품'!$A$2:$A$501,A431))</f>
        <v/>
      </c>
    </row>
    <row r="432">
      <c r="A432" s="3" t="n"/>
      <c r="C432" s="3" t="n"/>
      <c r="D432" s="4">
        <f>IF(A432="","",SUMIFS('구성품'!$F$2:$F$501,'구성품'!$A$2:$A$501,A432))</f>
        <v/>
      </c>
      <c r="E432" s="2">
        <f>IF(A432="","",COUNTIF('구성품'!$A$2:$A$501,A432))</f>
        <v/>
      </c>
    </row>
    <row r="433">
      <c r="A433" s="3" t="n"/>
      <c r="C433" s="3" t="n"/>
      <c r="D433" s="4">
        <f>IF(A433="","",SUMIFS('구성품'!$F$2:$F$501,'구성품'!$A$2:$A$501,A433))</f>
        <v/>
      </c>
      <c r="E433" s="2">
        <f>IF(A433="","",COUNTIF('구성품'!$A$2:$A$501,A433))</f>
        <v/>
      </c>
    </row>
    <row r="434">
      <c r="A434" s="3" t="n"/>
      <c r="C434" s="3" t="n"/>
      <c r="D434" s="4">
        <f>IF(A434="","",SUMIFS('구성품'!$F$2:$F$501,'구성품'!$A$2:$A$501,A434))</f>
        <v/>
      </c>
      <c r="E434" s="2">
        <f>IF(A434="","",COUNTIF('구성품'!$A$2:$A$501,A434))</f>
        <v/>
      </c>
    </row>
    <row r="435">
      <c r="A435" s="3" t="n"/>
      <c r="C435" s="3" t="n"/>
      <c r="D435" s="4">
        <f>IF(A435="","",SUMIFS('구성품'!$F$2:$F$501,'구성품'!$A$2:$A$501,A435))</f>
        <v/>
      </c>
      <c r="E435" s="2">
        <f>IF(A435="","",COUNTIF('구성품'!$A$2:$A$501,A435))</f>
        <v/>
      </c>
    </row>
    <row r="436">
      <c r="A436" s="3" t="n"/>
      <c r="C436" s="3" t="n"/>
      <c r="D436" s="4">
        <f>IF(A436="","",SUMIFS('구성품'!$F$2:$F$501,'구성품'!$A$2:$A$501,A436))</f>
        <v/>
      </c>
      <c r="E436" s="2">
        <f>IF(A436="","",COUNTIF('구성품'!$A$2:$A$501,A436))</f>
        <v/>
      </c>
    </row>
    <row r="437">
      <c r="A437" s="3" t="n"/>
      <c r="C437" s="3" t="n"/>
      <c r="D437" s="4">
        <f>IF(A437="","",SUMIFS('구성품'!$F$2:$F$501,'구성품'!$A$2:$A$501,A437))</f>
        <v/>
      </c>
      <c r="E437" s="2">
        <f>IF(A437="","",COUNTIF('구성품'!$A$2:$A$501,A437))</f>
        <v/>
      </c>
    </row>
    <row r="438">
      <c r="A438" s="3" t="n"/>
      <c r="C438" s="3" t="n"/>
      <c r="D438" s="4">
        <f>IF(A438="","",SUMIFS('구성품'!$F$2:$F$501,'구성품'!$A$2:$A$501,A438))</f>
        <v/>
      </c>
      <c r="E438" s="2">
        <f>IF(A438="","",COUNTIF('구성품'!$A$2:$A$501,A438))</f>
        <v/>
      </c>
    </row>
    <row r="439">
      <c r="A439" s="3" t="n"/>
      <c r="C439" s="3" t="n"/>
      <c r="D439" s="4">
        <f>IF(A439="","",SUMIFS('구성품'!$F$2:$F$501,'구성품'!$A$2:$A$501,A439))</f>
        <v/>
      </c>
      <c r="E439" s="2">
        <f>IF(A439="","",COUNTIF('구성품'!$A$2:$A$501,A439))</f>
        <v/>
      </c>
    </row>
    <row r="440">
      <c r="A440" s="3" t="n"/>
      <c r="C440" s="3" t="n"/>
      <c r="D440" s="4">
        <f>IF(A440="","",SUMIFS('구성품'!$F$2:$F$501,'구성품'!$A$2:$A$501,A440))</f>
        <v/>
      </c>
      <c r="E440" s="2">
        <f>IF(A440="","",COUNTIF('구성품'!$A$2:$A$501,A440))</f>
        <v/>
      </c>
    </row>
    <row r="441">
      <c r="A441" s="3" t="n"/>
      <c r="C441" s="3" t="n"/>
      <c r="D441" s="4">
        <f>IF(A441="","",SUMIFS('구성품'!$F$2:$F$501,'구성품'!$A$2:$A$501,A441))</f>
        <v/>
      </c>
      <c r="E441" s="2">
        <f>IF(A441="","",COUNTIF('구성품'!$A$2:$A$501,A441))</f>
        <v/>
      </c>
    </row>
    <row r="442">
      <c r="A442" s="3" t="n"/>
      <c r="C442" s="3" t="n"/>
      <c r="D442" s="4">
        <f>IF(A442="","",SUMIFS('구성품'!$F$2:$F$501,'구성품'!$A$2:$A$501,A442))</f>
        <v/>
      </c>
      <c r="E442" s="2">
        <f>IF(A442="","",COUNTIF('구성품'!$A$2:$A$501,A442))</f>
        <v/>
      </c>
    </row>
    <row r="443">
      <c r="A443" s="3" t="n"/>
      <c r="C443" s="3" t="n"/>
      <c r="D443" s="4">
        <f>IF(A443="","",SUMIFS('구성품'!$F$2:$F$501,'구성품'!$A$2:$A$501,A443))</f>
        <v/>
      </c>
      <c r="E443" s="2">
        <f>IF(A443="","",COUNTIF('구성품'!$A$2:$A$501,A443))</f>
        <v/>
      </c>
    </row>
    <row r="444">
      <c r="A444" s="3" t="n"/>
      <c r="C444" s="3" t="n"/>
      <c r="D444" s="4">
        <f>IF(A444="","",SUMIFS('구성품'!$F$2:$F$501,'구성품'!$A$2:$A$501,A444))</f>
        <v/>
      </c>
      <c r="E444" s="2">
        <f>IF(A444="","",COUNTIF('구성품'!$A$2:$A$501,A444))</f>
        <v/>
      </c>
    </row>
    <row r="445">
      <c r="A445" s="3" t="n"/>
      <c r="C445" s="3" t="n"/>
      <c r="D445" s="4">
        <f>IF(A445="","",SUMIFS('구성품'!$F$2:$F$501,'구성품'!$A$2:$A$501,A445))</f>
        <v/>
      </c>
      <c r="E445" s="2">
        <f>IF(A445="","",COUNTIF('구성품'!$A$2:$A$501,A445))</f>
        <v/>
      </c>
    </row>
    <row r="446">
      <c r="A446" s="3" t="n"/>
      <c r="C446" s="3" t="n"/>
      <c r="D446" s="4">
        <f>IF(A446="","",SUMIFS('구성품'!$F$2:$F$501,'구성품'!$A$2:$A$501,A446))</f>
        <v/>
      </c>
      <c r="E446" s="2">
        <f>IF(A446="","",COUNTIF('구성품'!$A$2:$A$501,A446))</f>
        <v/>
      </c>
    </row>
    <row r="447">
      <c r="A447" s="3" t="n"/>
      <c r="C447" s="3" t="n"/>
      <c r="D447" s="4">
        <f>IF(A447="","",SUMIFS('구성품'!$F$2:$F$501,'구성품'!$A$2:$A$501,A447))</f>
        <v/>
      </c>
      <c r="E447" s="2">
        <f>IF(A447="","",COUNTIF('구성품'!$A$2:$A$501,A447))</f>
        <v/>
      </c>
    </row>
    <row r="448">
      <c r="A448" s="3" t="n"/>
      <c r="C448" s="3" t="n"/>
      <c r="D448" s="4">
        <f>IF(A448="","",SUMIFS('구성품'!$F$2:$F$501,'구성품'!$A$2:$A$501,A448))</f>
        <v/>
      </c>
      <c r="E448" s="2">
        <f>IF(A448="","",COUNTIF('구성품'!$A$2:$A$501,A448))</f>
        <v/>
      </c>
    </row>
    <row r="449">
      <c r="A449" s="3" t="n"/>
      <c r="C449" s="3" t="n"/>
      <c r="D449" s="4">
        <f>IF(A449="","",SUMIFS('구성품'!$F$2:$F$501,'구성품'!$A$2:$A$501,A449))</f>
        <v/>
      </c>
      <c r="E449" s="2">
        <f>IF(A449="","",COUNTIF('구성품'!$A$2:$A$501,A449))</f>
        <v/>
      </c>
    </row>
    <row r="450">
      <c r="A450" s="3" t="n"/>
      <c r="C450" s="3" t="n"/>
      <c r="D450" s="4">
        <f>IF(A450="","",SUMIFS('구성품'!$F$2:$F$501,'구성품'!$A$2:$A$501,A450))</f>
        <v/>
      </c>
      <c r="E450" s="2">
        <f>IF(A450="","",COUNTIF('구성품'!$A$2:$A$501,A450))</f>
        <v/>
      </c>
    </row>
    <row r="451">
      <c r="A451" s="3" t="n"/>
      <c r="C451" s="3" t="n"/>
      <c r="D451" s="4">
        <f>IF(A451="","",SUMIFS('구성품'!$F$2:$F$501,'구성품'!$A$2:$A$501,A451))</f>
        <v/>
      </c>
      <c r="E451" s="2">
        <f>IF(A451="","",COUNTIF('구성품'!$A$2:$A$501,A451))</f>
        <v/>
      </c>
    </row>
    <row r="452">
      <c r="A452" s="3" t="n"/>
      <c r="C452" s="3" t="n"/>
      <c r="D452" s="4">
        <f>IF(A452="","",SUMIFS('구성품'!$F$2:$F$501,'구성품'!$A$2:$A$501,A452))</f>
        <v/>
      </c>
      <c r="E452" s="2">
        <f>IF(A452="","",COUNTIF('구성품'!$A$2:$A$501,A452))</f>
        <v/>
      </c>
    </row>
    <row r="453">
      <c r="A453" s="3" t="n"/>
      <c r="C453" s="3" t="n"/>
      <c r="D453" s="4">
        <f>IF(A453="","",SUMIFS('구성품'!$F$2:$F$501,'구성품'!$A$2:$A$501,A453))</f>
        <v/>
      </c>
      <c r="E453" s="2">
        <f>IF(A453="","",COUNTIF('구성품'!$A$2:$A$501,A453))</f>
        <v/>
      </c>
    </row>
    <row r="454">
      <c r="A454" s="3" t="n"/>
      <c r="C454" s="3" t="n"/>
      <c r="D454" s="4">
        <f>IF(A454="","",SUMIFS('구성품'!$F$2:$F$501,'구성품'!$A$2:$A$501,A454))</f>
        <v/>
      </c>
      <c r="E454" s="2">
        <f>IF(A454="","",COUNTIF('구성품'!$A$2:$A$501,A454))</f>
        <v/>
      </c>
    </row>
    <row r="455">
      <c r="A455" s="3" t="n"/>
      <c r="C455" s="3" t="n"/>
      <c r="D455" s="4">
        <f>IF(A455="","",SUMIFS('구성품'!$F$2:$F$501,'구성품'!$A$2:$A$501,A455))</f>
        <v/>
      </c>
      <c r="E455" s="2">
        <f>IF(A455="","",COUNTIF('구성품'!$A$2:$A$501,A455))</f>
        <v/>
      </c>
    </row>
    <row r="456">
      <c r="A456" s="3" t="n"/>
      <c r="C456" s="3" t="n"/>
      <c r="D456" s="4">
        <f>IF(A456="","",SUMIFS('구성품'!$F$2:$F$501,'구성품'!$A$2:$A$501,A456))</f>
        <v/>
      </c>
      <c r="E456" s="2">
        <f>IF(A456="","",COUNTIF('구성품'!$A$2:$A$501,A456))</f>
        <v/>
      </c>
    </row>
    <row r="457">
      <c r="A457" s="3" t="n"/>
      <c r="C457" s="3" t="n"/>
      <c r="D457" s="4">
        <f>IF(A457="","",SUMIFS('구성품'!$F$2:$F$501,'구성품'!$A$2:$A$501,A457))</f>
        <v/>
      </c>
      <c r="E457" s="2">
        <f>IF(A457="","",COUNTIF('구성품'!$A$2:$A$501,A457))</f>
        <v/>
      </c>
    </row>
    <row r="458">
      <c r="A458" s="3" t="n"/>
      <c r="C458" s="3" t="n"/>
      <c r="D458" s="4">
        <f>IF(A458="","",SUMIFS('구성품'!$F$2:$F$501,'구성품'!$A$2:$A$501,A458))</f>
        <v/>
      </c>
      <c r="E458" s="2">
        <f>IF(A458="","",COUNTIF('구성품'!$A$2:$A$501,A458))</f>
        <v/>
      </c>
    </row>
    <row r="459">
      <c r="A459" s="3" t="n"/>
      <c r="C459" s="3" t="n"/>
      <c r="D459" s="4">
        <f>IF(A459="","",SUMIFS('구성품'!$F$2:$F$501,'구성품'!$A$2:$A$501,A459))</f>
        <v/>
      </c>
      <c r="E459" s="2">
        <f>IF(A459="","",COUNTIF('구성품'!$A$2:$A$501,A459))</f>
        <v/>
      </c>
    </row>
    <row r="460">
      <c r="A460" s="3" t="n"/>
      <c r="C460" s="3" t="n"/>
      <c r="D460" s="4">
        <f>IF(A460="","",SUMIFS('구성품'!$F$2:$F$501,'구성품'!$A$2:$A$501,A460))</f>
        <v/>
      </c>
      <c r="E460" s="2">
        <f>IF(A460="","",COUNTIF('구성품'!$A$2:$A$501,A460))</f>
        <v/>
      </c>
    </row>
    <row r="461">
      <c r="A461" s="3" t="n"/>
      <c r="C461" s="3" t="n"/>
      <c r="D461" s="4">
        <f>IF(A461="","",SUMIFS('구성품'!$F$2:$F$501,'구성품'!$A$2:$A$501,A461))</f>
        <v/>
      </c>
      <c r="E461" s="2">
        <f>IF(A461="","",COUNTIF('구성품'!$A$2:$A$501,A461))</f>
        <v/>
      </c>
    </row>
    <row r="462">
      <c r="A462" s="3" t="n"/>
      <c r="C462" s="3" t="n"/>
      <c r="D462" s="4">
        <f>IF(A462="","",SUMIFS('구성품'!$F$2:$F$501,'구성품'!$A$2:$A$501,A462))</f>
        <v/>
      </c>
      <c r="E462" s="2">
        <f>IF(A462="","",COUNTIF('구성품'!$A$2:$A$501,A462))</f>
        <v/>
      </c>
    </row>
    <row r="463">
      <c r="A463" s="3" t="n"/>
      <c r="C463" s="3" t="n"/>
      <c r="D463" s="4">
        <f>IF(A463="","",SUMIFS('구성품'!$F$2:$F$501,'구성품'!$A$2:$A$501,A463))</f>
        <v/>
      </c>
      <c r="E463" s="2">
        <f>IF(A463="","",COUNTIF('구성품'!$A$2:$A$501,A463))</f>
        <v/>
      </c>
    </row>
    <row r="464">
      <c r="A464" s="3" t="n"/>
      <c r="C464" s="3" t="n"/>
      <c r="D464" s="4">
        <f>IF(A464="","",SUMIFS('구성품'!$F$2:$F$501,'구성품'!$A$2:$A$501,A464))</f>
        <v/>
      </c>
      <c r="E464" s="2">
        <f>IF(A464="","",COUNTIF('구성품'!$A$2:$A$501,A464))</f>
        <v/>
      </c>
    </row>
    <row r="465">
      <c r="A465" s="3" t="n"/>
      <c r="C465" s="3" t="n"/>
      <c r="D465" s="4">
        <f>IF(A465="","",SUMIFS('구성품'!$F$2:$F$501,'구성품'!$A$2:$A$501,A465))</f>
        <v/>
      </c>
      <c r="E465" s="2">
        <f>IF(A465="","",COUNTIF('구성품'!$A$2:$A$501,A465))</f>
        <v/>
      </c>
    </row>
    <row r="466">
      <c r="A466" s="3" t="n"/>
      <c r="C466" s="3" t="n"/>
      <c r="D466" s="4">
        <f>IF(A466="","",SUMIFS('구성품'!$F$2:$F$501,'구성품'!$A$2:$A$501,A466))</f>
        <v/>
      </c>
      <c r="E466" s="2">
        <f>IF(A466="","",COUNTIF('구성품'!$A$2:$A$501,A466))</f>
        <v/>
      </c>
    </row>
    <row r="467">
      <c r="A467" s="3" t="n"/>
      <c r="C467" s="3" t="n"/>
      <c r="D467" s="4">
        <f>IF(A467="","",SUMIFS('구성품'!$F$2:$F$501,'구성품'!$A$2:$A$501,A467))</f>
        <v/>
      </c>
      <c r="E467" s="2">
        <f>IF(A467="","",COUNTIF('구성품'!$A$2:$A$501,A467))</f>
        <v/>
      </c>
    </row>
    <row r="468">
      <c r="A468" s="3" t="n"/>
      <c r="C468" s="3" t="n"/>
      <c r="D468" s="4">
        <f>IF(A468="","",SUMIFS('구성품'!$F$2:$F$501,'구성품'!$A$2:$A$501,A468))</f>
        <v/>
      </c>
      <c r="E468" s="2">
        <f>IF(A468="","",COUNTIF('구성품'!$A$2:$A$501,A468))</f>
        <v/>
      </c>
    </row>
    <row r="469">
      <c r="A469" s="3" t="n"/>
      <c r="C469" s="3" t="n"/>
      <c r="D469" s="4">
        <f>IF(A469="","",SUMIFS('구성품'!$F$2:$F$501,'구성품'!$A$2:$A$501,A469))</f>
        <v/>
      </c>
      <c r="E469" s="2">
        <f>IF(A469="","",COUNTIF('구성품'!$A$2:$A$501,A469))</f>
        <v/>
      </c>
    </row>
    <row r="470">
      <c r="A470" s="3" t="n"/>
      <c r="C470" s="3" t="n"/>
      <c r="D470" s="4">
        <f>IF(A470="","",SUMIFS('구성품'!$F$2:$F$501,'구성품'!$A$2:$A$501,A470))</f>
        <v/>
      </c>
      <c r="E470" s="2">
        <f>IF(A470="","",COUNTIF('구성품'!$A$2:$A$501,A470))</f>
        <v/>
      </c>
    </row>
    <row r="471">
      <c r="A471" s="3" t="n"/>
      <c r="C471" s="3" t="n"/>
      <c r="D471" s="4">
        <f>IF(A471="","",SUMIFS('구성품'!$F$2:$F$501,'구성품'!$A$2:$A$501,A471))</f>
        <v/>
      </c>
      <c r="E471" s="2">
        <f>IF(A471="","",COUNTIF('구성품'!$A$2:$A$501,A471))</f>
        <v/>
      </c>
    </row>
    <row r="472">
      <c r="A472" s="3" t="n"/>
      <c r="C472" s="3" t="n"/>
      <c r="D472" s="4">
        <f>IF(A472="","",SUMIFS('구성품'!$F$2:$F$501,'구성품'!$A$2:$A$501,A472))</f>
        <v/>
      </c>
      <c r="E472" s="2">
        <f>IF(A472="","",COUNTIF('구성품'!$A$2:$A$501,A472))</f>
        <v/>
      </c>
    </row>
    <row r="473">
      <c r="A473" s="3" t="n"/>
      <c r="C473" s="3" t="n"/>
      <c r="D473" s="4">
        <f>IF(A473="","",SUMIFS('구성품'!$F$2:$F$501,'구성품'!$A$2:$A$501,A473))</f>
        <v/>
      </c>
      <c r="E473" s="2">
        <f>IF(A473="","",COUNTIF('구성품'!$A$2:$A$501,A473))</f>
        <v/>
      </c>
    </row>
    <row r="474">
      <c r="A474" s="3" t="n"/>
      <c r="C474" s="3" t="n"/>
      <c r="D474" s="4">
        <f>IF(A474="","",SUMIFS('구성품'!$F$2:$F$501,'구성품'!$A$2:$A$501,A474))</f>
        <v/>
      </c>
      <c r="E474" s="2">
        <f>IF(A474="","",COUNTIF('구성품'!$A$2:$A$501,A474))</f>
        <v/>
      </c>
    </row>
    <row r="475">
      <c r="A475" s="3" t="n"/>
      <c r="C475" s="3" t="n"/>
      <c r="D475" s="4">
        <f>IF(A475="","",SUMIFS('구성품'!$F$2:$F$501,'구성품'!$A$2:$A$501,A475))</f>
        <v/>
      </c>
      <c r="E475" s="2">
        <f>IF(A475="","",COUNTIF('구성품'!$A$2:$A$501,A475))</f>
        <v/>
      </c>
    </row>
    <row r="476">
      <c r="A476" s="3" t="n"/>
      <c r="C476" s="3" t="n"/>
      <c r="D476" s="4">
        <f>IF(A476="","",SUMIFS('구성품'!$F$2:$F$501,'구성품'!$A$2:$A$501,A476))</f>
        <v/>
      </c>
      <c r="E476" s="2">
        <f>IF(A476="","",COUNTIF('구성품'!$A$2:$A$501,A476))</f>
        <v/>
      </c>
    </row>
    <row r="477">
      <c r="A477" s="3" t="n"/>
      <c r="C477" s="3" t="n"/>
      <c r="D477" s="4">
        <f>IF(A477="","",SUMIFS('구성품'!$F$2:$F$501,'구성품'!$A$2:$A$501,A477))</f>
        <v/>
      </c>
      <c r="E477" s="2">
        <f>IF(A477="","",COUNTIF('구성품'!$A$2:$A$501,A477))</f>
        <v/>
      </c>
    </row>
    <row r="478">
      <c r="A478" s="3" t="n"/>
      <c r="C478" s="3" t="n"/>
      <c r="D478" s="4">
        <f>IF(A478="","",SUMIFS('구성품'!$F$2:$F$501,'구성품'!$A$2:$A$501,A478))</f>
        <v/>
      </c>
      <c r="E478" s="2">
        <f>IF(A478="","",COUNTIF('구성품'!$A$2:$A$501,A478))</f>
        <v/>
      </c>
    </row>
    <row r="479">
      <c r="A479" s="3" t="n"/>
      <c r="C479" s="3" t="n"/>
      <c r="D479" s="4">
        <f>IF(A479="","",SUMIFS('구성품'!$F$2:$F$501,'구성품'!$A$2:$A$501,A479))</f>
        <v/>
      </c>
      <c r="E479" s="2">
        <f>IF(A479="","",COUNTIF('구성품'!$A$2:$A$501,A479))</f>
        <v/>
      </c>
    </row>
    <row r="480">
      <c r="A480" s="3" t="n"/>
      <c r="C480" s="3" t="n"/>
      <c r="D480" s="4">
        <f>IF(A480="","",SUMIFS('구성품'!$F$2:$F$501,'구성품'!$A$2:$A$501,A480))</f>
        <v/>
      </c>
      <c r="E480" s="2">
        <f>IF(A480="","",COUNTIF('구성품'!$A$2:$A$501,A480))</f>
        <v/>
      </c>
    </row>
    <row r="481">
      <c r="A481" s="3" t="n"/>
      <c r="C481" s="3" t="n"/>
      <c r="D481" s="4">
        <f>IF(A481="","",SUMIFS('구성품'!$F$2:$F$501,'구성품'!$A$2:$A$501,A481))</f>
        <v/>
      </c>
      <c r="E481" s="2">
        <f>IF(A481="","",COUNTIF('구성품'!$A$2:$A$501,A481))</f>
        <v/>
      </c>
    </row>
    <row r="482">
      <c r="A482" s="3" t="n"/>
      <c r="C482" s="3" t="n"/>
      <c r="D482" s="4">
        <f>IF(A482="","",SUMIFS('구성품'!$F$2:$F$501,'구성품'!$A$2:$A$501,A482))</f>
        <v/>
      </c>
      <c r="E482" s="2">
        <f>IF(A482="","",COUNTIF('구성품'!$A$2:$A$501,A482))</f>
        <v/>
      </c>
    </row>
    <row r="483">
      <c r="A483" s="3" t="n"/>
      <c r="C483" s="3" t="n"/>
      <c r="D483" s="4">
        <f>IF(A483="","",SUMIFS('구성품'!$F$2:$F$501,'구성품'!$A$2:$A$501,A483))</f>
        <v/>
      </c>
      <c r="E483" s="2">
        <f>IF(A483="","",COUNTIF('구성품'!$A$2:$A$501,A483))</f>
        <v/>
      </c>
    </row>
    <row r="484">
      <c r="A484" s="3" t="n"/>
      <c r="C484" s="3" t="n"/>
      <c r="D484" s="4">
        <f>IF(A484="","",SUMIFS('구성품'!$F$2:$F$501,'구성품'!$A$2:$A$501,A484))</f>
        <v/>
      </c>
      <c r="E484" s="2">
        <f>IF(A484="","",COUNTIF('구성품'!$A$2:$A$501,A484))</f>
        <v/>
      </c>
    </row>
    <row r="485">
      <c r="A485" s="3" t="n"/>
      <c r="C485" s="3" t="n"/>
      <c r="D485" s="4">
        <f>IF(A485="","",SUMIFS('구성품'!$F$2:$F$501,'구성품'!$A$2:$A$501,A485))</f>
        <v/>
      </c>
      <c r="E485" s="2">
        <f>IF(A485="","",COUNTIF('구성품'!$A$2:$A$501,A485))</f>
        <v/>
      </c>
    </row>
    <row r="486">
      <c r="A486" s="3" t="n"/>
      <c r="C486" s="3" t="n"/>
      <c r="D486" s="4">
        <f>IF(A486="","",SUMIFS('구성품'!$F$2:$F$501,'구성품'!$A$2:$A$501,A486))</f>
        <v/>
      </c>
      <c r="E486" s="2">
        <f>IF(A486="","",COUNTIF('구성품'!$A$2:$A$501,A486))</f>
        <v/>
      </c>
    </row>
    <row r="487">
      <c r="A487" s="3" t="n"/>
      <c r="C487" s="3" t="n"/>
      <c r="D487" s="4">
        <f>IF(A487="","",SUMIFS('구성품'!$F$2:$F$501,'구성품'!$A$2:$A$501,A487))</f>
        <v/>
      </c>
      <c r="E487" s="2">
        <f>IF(A487="","",COUNTIF('구성품'!$A$2:$A$501,A487))</f>
        <v/>
      </c>
    </row>
    <row r="488">
      <c r="A488" s="3" t="n"/>
      <c r="C488" s="3" t="n"/>
      <c r="D488" s="4">
        <f>IF(A488="","",SUMIFS('구성품'!$F$2:$F$501,'구성품'!$A$2:$A$501,A488))</f>
        <v/>
      </c>
      <c r="E488" s="2">
        <f>IF(A488="","",COUNTIF('구성품'!$A$2:$A$501,A488))</f>
        <v/>
      </c>
    </row>
    <row r="489">
      <c r="A489" s="3" t="n"/>
      <c r="C489" s="3" t="n"/>
      <c r="D489" s="4">
        <f>IF(A489="","",SUMIFS('구성품'!$F$2:$F$501,'구성품'!$A$2:$A$501,A489))</f>
        <v/>
      </c>
      <c r="E489" s="2">
        <f>IF(A489="","",COUNTIF('구성품'!$A$2:$A$501,A489))</f>
        <v/>
      </c>
    </row>
    <row r="490">
      <c r="A490" s="3" t="n"/>
      <c r="C490" s="3" t="n"/>
      <c r="D490" s="4">
        <f>IF(A490="","",SUMIFS('구성품'!$F$2:$F$501,'구성품'!$A$2:$A$501,A490))</f>
        <v/>
      </c>
      <c r="E490" s="2">
        <f>IF(A490="","",COUNTIF('구성품'!$A$2:$A$501,A490))</f>
        <v/>
      </c>
    </row>
    <row r="491">
      <c r="A491" s="3" t="n"/>
      <c r="C491" s="3" t="n"/>
      <c r="D491" s="4">
        <f>IF(A491="","",SUMIFS('구성품'!$F$2:$F$501,'구성품'!$A$2:$A$501,A491))</f>
        <v/>
      </c>
      <c r="E491" s="2">
        <f>IF(A491="","",COUNTIF('구성품'!$A$2:$A$501,A491))</f>
        <v/>
      </c>
    </row>
    <row r="492">
      <c r="A492" s="3" t="n"/>
      <c r="C492" s="3" t="n"/>
      <c r="D492" s="4">
        <f>IF(A492="","",SUMIFS('구성품'!$F$2:$F$501,'구성품'!$A$2:$A$501,A492))</f>
        <v/>
      </c>
      <c r="E492" s="2">
        <f>IF(A492="","",COUNTIF('구성품'!$A$2:$A$501,A492))</f>
        <v/>
      </c>
    </row>
    <row r="493">
      <c r="A493" s="3" t="n"/>
      <c r="C493" s="3" t="n"/>
      <c r="D493" s="4">
        <f>IF(A493="","",SUMIFS('구성품'!$F$2:$F$501,'구성품'!$A$2:$A$501,A493))</f>
        <v/>
      </c>
      <c r="E493" s="2">
        <f>IF(A493="","",COUNTIF('구성품'!$A$2:$A$501,A493))</f>
        <v/>
      </c>
    </row>
    <row r="494">
      <c r="A494" s="3" t="n"/>
      <c r="C494" s="3" t="n"/>
      <c r="D494" s="4">
        <f>IF(A494="","",SUMIFS('구성품'!$F$2:$F$501,'구성품'!$A$2:$A$501,A494))</f>
        <v/>
      </c>
      <c r="E494" s="2">
        <f>IF(A494="","",COUNTIF('구성품'!$A$2:$A$501,A494))</f>
        <v/>
      </c>
    </row>
    <row r="495">
      <c r="A495" s="3" t="n"/>
      <c r="C495" s="3" t="n"/>
      <c r="D495" s="4">
        <f>IF(A495="","",SUMIFS('구성품'!$F$2:$F$501,'구성품'!$A$2:$A$501,A495))</f>
        <v/>
      </c>
      <c r="E495" s="2">
        <f>IF(A495="","",COUNTIF('구성품'!$A$2:$A$501,A495))</f>
        <v/>
      </c>
    </row>
    <row r="496">
      <c r="A496" s="3" t="n"/>
      <c r="C496" s="3" t="n"/>
      <c r="D496" s="4">
        <f>IF(A496="","",SUMIFS('구성품'!$F$2:$F$501,'구성품'!$A$2:$A$501,A496))</f>
        <v/>
      </c>
      <c r="E496" s="2">
        <f>IF(A496="","",COUNTIF('구성품'!$A$2:$A$501,A496))</f>
        <v/>
      </c>
    </row>
    <row r="497">
      <c r="A497" s="3" t="n"/>
      <c r="C497" s="3" t="n"/>
      <c r="D497" s="4">
        <f>IF(A497="","",SUMIFS('구성품'!$F$2:$F$501,'구성품'!$A$2:$A$501,A497))</f>
        <v/>
      </c>
      <c r="E497" s="2">
        <f>IF(A497="","",COUNTIF('구성품'!$A$2:$A$501,A497))</f>
        <v/>
      </c>
    </row>
    <row r="498">
      <c r="A498" s="3" t="n"/>
      <c r="C498" s="3" t="n"/>
      <c r="D498" s="4">
        <f>IF(A498="","",SUMIFS('구성품'!$F$2:$F$501,'구성품'!$A$2:$A$501,A498))</f>
        <v/>
      </c>
      <c r="E498" s="2">
        <f>IF(A498="","",COUNTIF('구성품'!$A$2:$A$501,A498))</f>
        <v/>
      </c>
    </row>
    <row r="499">
      <c r="A499" s="3" t="n"/>
      <c r="C499" s="3" t="n"/>
      <c r="D499" s="4">
        <f>IF(A499="","",SUMIFS('구성품'!$F$2:$F$501,'구성품'!$A$2:$A$501,A499))</f>
        <v/>
      </c>
      <c r="E499" s="2">
        <f>IF(A499="","",COUNTIF('구성품'!$A$2:$A$501,A499))</f>
        <v/>
      </c>
    </row>
    <row r="500">
      <c r="A500" s="3" t="n"/>
      <c r="C500" s="3" t="n"/>
      <c r="D500" s="4">
        <f>IF(A500="","",SUMIFS('구성품'!$F$2:$F$501,'구성품'!$A$2:$A$501,A500))</f>
        <v/>
      </c>
      <c r="E500" s="2">
        <f>IF(A500="","",COUNTIF('구성품'!$A$2:$A$501,A500))</f>
        <v/>
      </c>
    </row>
    <row r="501">
      <c r="A501" s="3" t="n"/>
      <c r="C501" s="3" t="n"/>
      <c r="D501" s="4">
        <f>IF(A501="","",SUMIFS('구성품'!$F$2:$F$501,'구성품'!$A$2:$A$501,A501))</f>
        <v/>
      </c>
      <c r="E501" s="2">
        <f>IF(A501="","",COUNTIF('구성품'!$A$2:$A$501,A501))</f>
        <v/>
      </c>
    </row>
  </sheetData>
  <autoFilter ref="A1:F501"/>
  <conditionalFormatting sqref="A2:A501">
    <cfRule type="expression" priority="1" dxfId="0">
      <formula>AND($A2&lt;&gt;"",COUNTIF($A$2:$A$501,$A2)&gt;1)</formula>
    </cfRule>
  </conditionalFormatting>
  <conditionalFormatting sqref="E2:E501">
    <cfRule type="expression" priority="2" dxfId="0">
      <formula>AND($A2&lt;&gt;"",$E2=0)</formula>
    </cfRule>
  </conditionalFormatting>
  <dataValidations count="1">
    <dataValidation sqref="F2:F501" showDropDown="0" showInputMessage="0" showErrorMessage="1" allowBlank="1" errorTitle="입력 오류" error="목록에 있는 값만 선택할 수 있습니다." type="list">
      <formula1>"사용,중지"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16" customWidth="1" min="3" max="3"/>
    <col width="36" customWidth="1" min="4" max="4"/>
    <col width="8" customWidth="1" min="5" max="5"/>
    <col width="12" customWidth="1" min="6" max="6"/>
  </cols>
  <sheetData>
    <row r="1" ht="24" customHeight="1">
      <c r="A1" s="1" t="inlineStr">
        <is>
          <t>구성코드</t>
        </is>
      </c>
      <c r="B1" s="1" t="inlineStr">
        <is>
          <t>구성명</t>
        </is>
      </c>
      <c r="C1" s="1" t="inlineStr">
        <is>
          <t>SKU코드</t>
        </is>
      </c>
      <c r="D1" s="1" t="inlineStr">
        <is>
          <t>상품명</t>
        </is>
      </c>
      <c r="E1" s="1" t="inlineStr">
        <is>
          <t>수량</t>
        </is>
      </c>
      <c r="F1" s="1" t="inlineStr">
        <is>
          <t>원가합</t>
        </is>
      </c>
    </row>
    <row r="2">
      <c r="B2" s="2">
        <f>IF(A2="","",IFERROR(INDEX('판매구성'!$B$2:$B$501,MATCH(A2,'판매구성'!$A$2:$A$501,0)),""))</f>
        <v/>
      </c>
      <c r="D2" s="2">
        <f>IF(C2="","",IFERROR(INDEX('SKU'!$B$2:$B$501,MATCH(C2,'SKU'!$A$2:$A$501,0)),""))</f>
        <v/>
      </c>
      <c r="F2" s="4">
        <f>IF(OR(C2="",E2=""),"",E2*N(IFERROR(INDEX('SKU'!$E$2:$E$501,MATCH(C2,'SKU'!$A$2:$A$501,0)),"")))</f>
        <v/>
      </c>
    </row>
    <row r="3">
      <c r="B3" s="2">
        <f>IF(A3="","",IFERROR(INDEX('판매구성'!$B$2:$B$501,MATCH(A3,'판매구성'!$A$2:$A$501,0)),""))</f>
        <v/>
      </c>
      <c r="D3" s="2">
        <f>IF(C3="","",IFERROR(INDEX('SKU'!$B$2:$B$501,MATCH(C3,'SKU'!$A$2:$A$501,0)),""))</f>
        <v/>
      </c>
      <c r="F3" s="4">
        <f>IF(OR(C3="",E3=""),"",E3*N(IFERROR(INDEX('SKU'!$E$2:$E$501,MATCH(C3,'SKU'!$A$2:$A$501,0)),"")))</f>
        <v/>
      </c>
    </row>
    <row r="4">
      <c r="B4" s="2">
        <f>IF(A4="","",IFERROR(INDEX('판매구성'!$B$2:$B$501,MATCH(A4,'판매구성'!$A$2:$A$501,0)),""))</f>
        <v/>
      </c>
      <c r="D4" s="2">
        <f>IF(C4="","",IFERROR(INDEX('SKU'!$B$2:$B$501,MATCH(C4,'SKU'!$A$2:$A$501,0)),""))</f>
        <v/>
      </c>
      <c r="F4" s="4">
        <f>IF(OR(C4="",E4=""),"",E4*N(IFERROR(INDEX('SKU'!$E$2:$E$501,MATCH(C4,'SKU'!$A$2:$A$501,0)),"")))</f>
        <v/>
      </c>
    </row>
    <row r="5">
      <c r="B5" s="2">
        <f>IF(A5="","",IFERROR(INDEX('판매구성'!$B$2:$B$501,MATCH(A5,'판매구성'!$A$2:$A$501,0)),""))</f>
        <v/>
      </c>
      <c r="D5" s="2">
        <f>IF(C5="","",IFERROR(INDEX('SKU'!$B$2:$B$501,MATCH(C5,'SKU'!$A$2:$A$501,0)),""))</f>
        <v/>
      </c>
      <c r="F5" s="4">
        <f>IF(OR(C5="",E5=""),"",E5*N(IFERROR(INDEX('SKU'!$E$2:$E$501,MATCH(C5,'SKU'!$A$2:$A$501,0)),"")))</f>
        <v/>
      </c>
    </row>
    <row r="6">
      <c r="B6" s="2">
        <f>IF(A6="","",IFERROR(INDEX('판매구성'!$B$2:$B$501,MATCH(A6,'판매구성'!$A$2:$A$501,0)),""))</f>
        <v/>
      </c>
      <c r="D6" s="2">
        <f>IF(C6="","",IFERROR(INDEX('SKU'!$B$2:$B$501,MATCH(C6,'SKU'!$A$2:$A$501,0)),""))</f>
        <v/>
      </c>
      <c r="F6" s="4">
        <f>IF(OR(C6="",E6=""),"",E6*N(IFERROR(INDEX('SKU'!$E$2:$E$501,MATCH(C6,'SKU'!$A$2:$A$501,0)),"")))</f>
        <v/>
      </c>
    </row>
    <row r="7">
      <c r="B7" s="2">
        <f>IF(A7="","",IFERROR(INDEX('판매구성'!$B$2:$B$501,MATCH(A7,'판매구성'!$A$2:$A$501,0)),""))</f>
        <v/>
      </c>
      <c r="D7" s="2">
        <f>IF(C7="","",IFERROR(INDEX('SKU'!$B$2:$B$501,MATCH(C7,'SKU'!$A$2:$A$501,0)),""))</f>
        <v/>
      </c>
      <c r="F7" s="4">
        <f>IF(OR(C7="",E7=""),"",E7*N(IFERROR(INDEX('SKU'!$E$2:$E$501,MATCH(C7,'SKU'!$A$2:$A$501,0)),"")))</f>
        <v/>
      </c>
    </row>
    <row r="8">
      <c r="B8" s="2">
        <f>IF(A8="","",IFERROR(INDEX('판매구성'!$B$2:$B$501,MATCH(A8,'판매구성'!$A$2:$A$501,0)),""))</f>
        <v/>
      </c>
      <c r="D8" s="2">
        <f>IF(C8="","",IFERROR(INDEX('SKU'!$B$2:$B$501,MATCH(C8,'SKU'!$A$2:$A$501,0)),""))</f>
        <v/>
      </c>
      <c r="F8" s="4">
        <f>IF(OR(C8="",E8=""),"",E8*N(IFERROR(INDEX('SKU'!$E$2:$E$501,MATCH(C8,'SKU'!$A$2:$A$501,0)),"")))</f>
        <v/>
      </c>
    </row>
    <row r="9">
      <c r="B9" s="2">
        <f>IF(A9="","",IFERROR(INDEX('판매구성'!$B$2:$B$501,MATCH(A9,'판매구성'!$A$2:$A$501,0)),""))</f>
        <v/>
      </c>
      <c r="D9" s="2">
        <f>IF(C9="","",IFERROR(INDEX('SKU'!$B$2:$B$501,MATCH(C9,'SKU'!$A$2:$A$501,0)),""))</f>
        <v/>
      </c>
      <c r="F9" s="4">
        <f>IF(OR(C9="",E9=""),"",E9*N(IFERROR(INDEX('SKU'!$E$2:$E$501,MATCH(C9,'SKU'!$A$2:$A$501,0)),"")))</f>
        <v/>
      </c>
    </row>
    <row r="10">
      <c r="B10" s="2">
        <f>IF(A10="","",IFERROR(INDEX('판매구성'!$B$2:$B$501,MATCH(A10,'판매구성'!$A$2:$A$501,0)),""))</f>
        <v/>
      </c>
      <c r="D10" s="2">
        <f>IF(C10="","",IFERROR(INDEX('SKU'!$B$2:$B$501,MATCH(C10,'SKU'!$A$2:$A$501,0)),""))</f>
        <v/>
      </c>
      <c r="F10" s="4">
        <f>IF(OR(C10="",E10=""),"",E10*N(IFERROR(INDEX('SKU'!$E$2:$E$501,MATCH(C10,'SKU'!$A$2:$A$501,0)),"")))</f>
        <v/>
      </c>
    </row>
    <row r="11">
      <c r="B11" s="2">
        <f>IF(A11="","",IFERROR(INDEX('판매구성'!$B$2:$B$501,MATCH(A11,'판매구성'!$A$2:$A$501,0)),""))</f>
        <v/>
      </c>
      <c r="D11" s="2">
        <f>IF(C11="","",IFERROR(INDEX('SKU'!$B$2:$B$501,MATCH(C11,'SKU'!$A$2:$A$501,0)),""))</f>
        <v/>
      </c>
      <c r="F11" s="4">
        <f>IF(OR(C11="",E11=""),"",E11*N(IFERROR(INDEX('SKU'!$E$2:$E$501,MATCH(C11,'SKU'!$A$2:$A$501,0)),"")))</f>
        <v/>
      </c>
    </row>
    <row r="12">
      <c r="B12" s="2">
        <f>IF(A12="","",IFERROR(INDEX('판매구성'!$B$2:$B$501,MATCH(A12,'판매구성'!$A$2:$A$501,0)),""))</f>
        <v/>
      </c>
      <c r="D12" s="2">
        <f>IF(C12="","",IFERROR(INDEX('SKU'!$B$2:$B$501,MATCH(C12,'SKU'!$A$2:$A$501,0)),""))</f>
        <v/>
      </c>
      <c r="F12" s="4">
        <f>IF(OR(C12="",E12=""),"",E12*N(IFERROR(INDEX('SKU'!$E$2:$E$501,MATCH(C12,'SKU'!$A$2:$A$501,0)),"")))</f>
        <v/>
      </c>
    </row>
    <row r="13">
      <c r="B13" s="2">
        <f>IF(A13="","",IFERROR(INDEX('판매구성'!$B$2:$B$501,MATCH(A13,'판매구성'!$A$2:$A$501,0)),""))</f>
        <v/>
      </c>
      <c r="D13" s="2">
        <f>IF(C13="","",IFERROR(INDEX('SKU'!$B$2:$B$501,MATCH(C13,'SKU'!$A$2:$A$501,0)),""))</f>
        <v/>
      </c>
      <c r="F13" s="4">
        <f>IF(OR(C13="",E13=""),"",E13*N(IFERROR(INDEX('SKU'!$E$2:$E$501,MATCH(C13,'SKU'!$A$2:$A$501,0)),"")))</f>
        <v/>
      </c>
    </row>
    <row r="14">
      <c r="B14" s="2">
        <f>IF(A14="","",IFERROR(INDEX('판매구성'!$B$2:$B$501,MATCH(A14,'판매구성'!$A$2:$A$501,0)),""))</f>
        <v/>
      </c>
      <c r="D14" s="2">
        <f>IF(C14="","",IFERROR(INDEX('SKU'!$B$2:$B$501,MATCH(C14,'SKU'!$A$2:$A$501,0)),""))</f>
        <v/>
      </c>
      <c r="F14" s="4">
        <f>IF(OR(C14="",E14=""),"",E14*N(IFERROR(INDEX('SKU'!$E$2:$E$501,MATCH(C14,'SKU'!$A$2:$A$501,0)),"")))</f>
        <v/>
      </c>
    </row>
    <row r="15">
      <c r="B15" s="2">
        <f>IF(A15="","",IFERROR(INDEX('판매구성'!$B$2:$B$501,MATCH(A15,'판매구성'!$A$2:$A$501,0)),""))</f>
        <v/>
      </c>
      <c r="D15" s="2">
        <f>IF(C15="","",IFERROR(INDEX('SKU'!$B$2:$B$501,MATCH(C15,'SKU'!$A$2:$A$501,0)),""))</f>
        <v/>
      </c>
      <c r="F15" s="4">
        <f>IF(OR(C15="",E15=""),"",E15*N(IFERROR(INDEX('SKU'!$E$2:$E$501,MATCH(C15,'SKU'!$A$2:$A$501,0)),"")))</f>
        <v/>
      </c>
    </row>
    <row r="16">
      <c r="B16" s="2">
        <f>IF(A16="","",IFERROR(INDEX('판매구성'!$B$2:$B$501,MATCH(A16,'판매구성'!$A$2:$A$501,0)),""))</f>
        <v/>
      </c>
      <c r="D16" s="2">
        <f>IF(C16="","",IFERROR(INDEX('SKU'!$B$2:$B$501,MATCH(C16,'SKU'!$A$2:$A$501,0)),""))</f>
        <v/>
      </c>
      <c r="F16" s="4">
        <f>IF(OR(C16="",E16=""),"",E16*N(IFERROR(INDEX('SKU'!$E$2:$E$501,MATCH(C16,'SKU'!$A$2:$A$501,0)),"")))</f>
        <v/>
      </c>
    </row>
    <row r="17">
      <c r="B17" s="2">
        <f>IF(A17="","",IFERROR(INDEX('판매구성'!$B$2:$B$501,MATCH(A17,'판매구성'!$A$2:$A$501,0)),""))</f>
        <v/>
      </c>
      <c r="D17" s="2">
        <f>IF(C17="","",IFERROR(INDEX('SKU'!$B$2:$B$501,MATCH(C17,'SKU'!$A$2:$A$501,0)),""))</f>
        <v/>
      </c>
      <c r="F17" s="4">
        <f>IF(OR(C17="",E17=""),"",E17*N(IFERROR(INDEX('SKU'!$E$2:$E$501,MATCH(C17,'SKU'!$A$2:$A$501,0)),"")))</f>
        <v/>
      </c>
    </row>
    <row r="18">
      <c r="B18" s="2">
        <f>IF(A18="","",IFERROR(INDEX('판매구성'!$B$2:$B$501,MATCH(A18,'판매구성'!$A$2:$A$501,0)),""))</f>
        <v/>
      </c>
      <c r="D18" s="2">
        <f>IF(C18="","",IFERROR(INDEX('SKU'!$B$2:$B$501,MATCH(C18,'SKU'!$A$2:$A$501,0)),""))</f>
        <v/>
      </c>
      <c r="F18" s="4">
        <f>IF(OR(C18="",E18=""),"",E18*N(IFERROR(INDEX('SKU'!$E$2:$E$501,MATCH(C18,'SKU'!$A$2:$A$501,0)),"")))</f>
        <v/>
      </c>
    </row>
    <row r="19">
      <c r="B19" s="2">
        <f>IF(A19="","",IFERROR(INDEX('판매구성'!$B$2:$B$501,MATCH(A19,'판매구성'!$A$2:$A$501,0)),""))</f>
        <v/>
      </c>
      <c r="D19" s="2">
        <f>IF(C19="","",IFERROR(INDEX('SKU'!$B$2:$B$501,MATCH(C19,'SKU'!$A$2:$A$501,0)),""))</f>
        <v/>
      </c>
      <c r="F19" s="4">
        <f>IF(OR(C19="",E19=""),"",E19*N(IFERROR(INDEX('SKU'!$E$2:$E$501,MATCH(C19,'SKU'!$A$2:$A$501,0)),"")))</f>
        <v/>
      </c>
    </row>
    <row r="20">
      <c r="B20" s="2">
        <f>IF(A20="","",IFERROR(INDEX('판매구성'!$B$2:$B$501,MATCH(A20,'판매구성'!$A$2:$A$501,0)),""))</f>
        <v/>
      </c>
      <c r="D20" s="2">
        <f>IF(C20="","",IFERROR(INDEX('SKU'!$B$2:$B$501,MATCH(C20,'SKU'!$A$2:$A$501,0)),""))</f>
        <v/>
      </c>
      <c r="F20" s="4">
        <f>IF(OR(C20="",E20=""),"",E20*N(IFERROR(INDEX('SKU'!$E$2:$E$501,MATCH(C20,'SKU'!$A$2:$A$501,0)),"")))</f>
        <v/>
      </c>
    </row>
    <row r="21">
      <c r="B21" s="2">
        <f>IF(A21="","",IFERROR(INDEX('판매구성'!$B$2:$B$501,MATCH(A21,'판매구성'!$A$2:$A$501,0)),""))</f>
        <v/>
      </c>
      <c r="D21" s="2">
        <f>IF(C21="","",IFERROR(INDEX('SKU'!$B$2:$B$501,MATCH(C21,'SKU'!$A$2:$A$501,0)),""))</f>
        <v/>
      </c>
      <c r="F21" s="4">
        <f>IF(OR(C21="",E21=""),"",E21*N(IFERROR(INDEX('SKU'!$E$2:$E$501,MATCH(C21,'SKU'!$A$2:$A$501,0)),"")))</f>
        <v/>
      </c>
    </row>
    <row r="22">
      <c r="B22" s="2">
        <f>IF(A22="","",IFERROR(INDEX('판매구성'!$B$2:$B$501,MATCH(A22,'판매구성'!$A$2:$A$501,0)),""))</f>
        <v/>
      </c>
      <c r="D22" s="2">
        <f>IF(C22="","",IFERROR(INDEX('SKU'!$B$2:$B$501,MATCH(C22,'SKU'!$A$2:$A$501,0)),""))</f>
        <v/>
      </c>
      <c r="F22" s="4">
        <f>IF(OR(C22="",E22=""),"",E22*N(IFERROR(INDEX('SKU'!$E$2:$E$501,MATCH(C22,'SKU'!$A$2:$A$501,0)),"")))</f>
        <v/>
      </c>
    </row>
    <row r="23">
      <c r="B23" s="2">
        <f>IF(A23="","",IFERROR(INDEX('판매구성'!$B$2:$B$501,MATCH(A23,'판매구성'!$A$2:$A$501,0)),""))</f>
        <v/>
      </c>
      <c r="D23" s="2">
        <f>IF(C23="","",IFERROR(INDEX('SKU'!$B$2:$B$501,MATCH(C23,'SKU'!$A$2:$A$501,0)),""))</f>
        <v/>
      </c>
      <c r="F23" s="4">
        <f>IF(OR(C23="",E23=""),"",E23*N(IFERROR(INDEX('SKU'!$E$2:$E$501,MATCH(C23,'SKU'!$A$2:$A$501,0)),"")))</f>
        <v/>
      </c>
    </row>
    <row r="24">
      <c r="B24" s="2">
        <f>IF(A24="","",IFERROR(INDEX('판매구성'!$B$2:$B$501,MATCH(A24,'판매구성'!$A$2:$A$501,0)),""))</f>
        <v/>
      </c>
      <c r="D24" s="2">
        <f>IF(C24="","",IFERROR(INDEX('SKU'!$B$2:$B$501,MATCH(C24,'SKU'!$A$2:$A$501,0)),""))</f>
        <v/>
      </c>
      <c r="F24" s="4">
        <f>IF(OR(C24="",E24=""),"",E24*N(IFERROR(INDEX('SKU'!$E$2:$E$501,MATCH(C24,'SKU'!$A$2:$A$501,0)),"")))</f>
        <v/>
      </c>
    </row>
    <row r="25">
      <c r="B25" s="2">
        <f>IF(A25="","",IFERROR(INDEX('판매구성'!$B$2:$B$501,MATCH(A25,'판매구성'!$A$2:$A$501,0)),""))</f>
        <v/>
      </c>
      <c r="D25" s="2">
        <f>IF(C25="","",IFERROR(INDEX('SKU'!$B$2:$B$501,MATCH(C25,'SKU'!$A$2:$A$501,0)),""))</f>
        <v/>
      </c>
      <c r="F25" s="4">
        <f>IF(OR(C25="",E25=""),"",E25*N(IFERROR(INDEX('SKU'!$E$2:$E$501,MATCH(C25,'SKU'!$A$2:$A$501,0)),"")))</f>
        <v/>
      </c>
    </row>
    <row r="26">
      <c r="B26" s="2">
        <f>IF(A26="","",IFERROR(INDEX('판매구성'!$B$2:$B$501,MATCH(A26,'판매구성'!$A$2:$A$501,0)),""))</f>
        <v/>
      </c>
      <c r="D26" s="2">
        <f>IF(C26="","",IFERROR(INDEX('SKU'!$B$2:$B$501,MATCH(C26,'SKU'!$A$2:$A$501,0)),""))</f>
        <v/>
      </c>
      <c r="F26" s="4">
        <f>IF(OR(C26="",E26=""),"",E26*N(IFERROR(INDEX('SKU'!$E$2:$E$501,MATCH(C26,'SKU'!$A$2:$A$501,0)),"")))</f>
        <v/>
      </c>
    </row>
    <row r="27">
      <c r="B27" s="2">
        <f>IF(A27="","",IFERROR(INDEX('판매구성'!$B$2:$B$501,MATCH(A27,'판매구성'!$A$2:$A$501,0)),""))</f>
        <v/>
      </c>
      <c r="D27" s="2">
        <f>IF(C27="","",IFERROR(INDEX('SKU'!$B$2:$B$501,MATCH(C27,'SKU'!$A$2:$A$501,0)),""))</f>
        <v/>
      </c>
      <c r="F27" s="4">
        <f>IF(OR(C27="",E27=""),"",E27*N(IFERROR(INDEX('SKU'!$E$2:$E$501,MATCH(C27,'SKU'!$A$2:$A$501,0)),"")))</f>
        <v/>
      </c>
    </row>
    <row r="28">
      <c r="B28" s="2">
        <f>IF(A28="","",IFERROR(INDEX('판매구성'!$B$2:$B$501,MATCH(A28,'판매구성'!$A$2:$A$501,0)),""))</f>
        <v/>
      </c>
      <c r="D28" s="2">
        <f>IF(C28="","",IFERROR(INDEX('SKU'!$B$2:$B$501,MATCH(C28,'SKU'!$A$2:$A$501,0)),""))</f>
        <v/>
      </c>
      <c r="F28" s="4">
        <f>IF(OR(C28="",E28=""),"",E28*N(IFERROR(INDEX('SKU'!$E$2:$E$501,MATCH(C28,'SKU'!$A$2:$A$501,0)),"")))</f>
        <v/>
      </c>
    </row>
    <row r="29">
      <c r="B29" s="2">
        <f>IF(A29="","",IFERROR(INDEX('판매구성'!$B$2:$B$501,MATCH(A29,'판매구성'!$A$2:$A$501,0)),""))</f>
        <v/>
      </c>
      <c r="D29" s="2">
        <f>IF(C29="","",IFERROR(INDEX('SKU'!$B$2:$B$501,MATCH(C29,'SKU'!$A$2:$A$501,0)),""))</f>
        <v/>
      </c>
      <c r="F29" s="4">
        <f>IF(OR(C29="",E29=""),"",E29*N(IFERROR(INDEX('SKU'!$E$2:$E$501,MATCH(C29,'SKU'!$A$2:$A$501,0)),"")))</f>
        <v/>
      </c>
    </row>
    <row r="30">
      <c r="B30" s="2">
        <f>IF(A30="","",IFERROR(INDEX('판매구성'!$B$2:$B$501,MATCH(A30,'판매구성'!$A$2:$A$501,0)),""))</f>
        <v/>
      </c>
      <c r="D30" s="2">
        <f>IF(C30="","",IFERROR(INDEX('SKU'!$B$2:$B$501,MATCH(C30,'SKU'!$A$2:$A$501,0)),""))</f>
        <v/>
      </c>
      <c r="F30" s="4">
        <f>IF(OR(C30="",E30=""),"",E30*N(IFERROR(INDEX('SKU'!$E$2:$E$501,MATCH(C30,'SKU'!$A$2:$A$501,0)),"")))</f>
        <v/>
      </c>
    </row>
    <row r="31">
      <c r="B31" s="2">
        <f>IF(A31="","",IFERROR(INDEX('판매구성'!$B$2:$B$501,MATCH(A31,'판매구성'!$A$2:$A$501,0)),""))</f>
        <v/>
      </c>
      <c r="D31" s="2">
        <f>IF(C31="","",IFERROR(INDEX('SKU'!$B$2:$B$501,MATCH(C31,'SKU'!$A$2:$A$501,0)),""))</f>
        <v/>
      </c>
      <c r="F31" s="4">
        <f>IF(OR(C31="",E31=""),"",E31*N(IFERROR(INDEX('SKU'!$E$2:$E$501,MATCH(C31,'SKU'!$A$2:$A$501,0)),"")))</f>
        <v/>
      </c>
    </row>
    <row r="32">
      <c r="B32" s="2">
        <f>IF(A32="","",IFERROR(INDEX('판매구성'!$B$2:$B$501,MATCH(A32,'판매구성'!$A$2:$A$501,0)),""))</f>
        <v/>
      </c>
      <c r="D32" s="2">
        <f>IF(C32="","",IFERROR(INDEX('SKU'!$B$2:$B$501,MATCH(C32,'SKU'!$A$2:$A$501,0)),""))</f>
        <v/>
      </c>
      <c r="F32" s="4">
        <f>IF(OR(C32="",E32=""),"",E32*N(IFERROR(INDEX('SKU'!$E$2:$E$501,MATCH(C32,'SKU'!$A$2:$A$501,0)),"")))</f>
        <v/>
      </c>
    </row>
    <row r="33">
      <c r="B33" s="2">
        <f>IF(A33="","",IFERROR(INDEX('판매구성'!$B$2:$B$501,MATCH(A33,'판매구성'!$A$2:$A$501,0)),""))</f>
        <v/>
      </c>
      <c r="D33" s="2">
        <f>IF(C33="","",IFERROR(INDEX('SKU'!$B$2:$B$501,MATCH(C33,'SKU'!$A$2:$A$501,0)),""))</f>
        <v/>
      </c>
      <c r="F33" s="4">
        <f>IF(OR(C33="",E33=""),"",E33*N(IFERROR(INDEX('SKU'!$E$2:$E$501,MATCH(C33,'SKU'!$A$2:$A$501,0)),"")))</f>
        <v/>
      </c>
    </row>
    <row r="34">
      <c r="B34" s="2">
        <f>IF(A34="","",IFERROR(INDEX('판매구성'!$B$2:$B$501,MATCH(A34,'판매구성'!$A$2:$A$501,0)),""))</f>
        <v/>
      </c>
      <c r="D34" s="2">
        <f>IF(C34="","",IFERROR(INDEX('SKU'!$B$2:$B$501,MATCH(C34,'SKU'!$A$2:$A$501,0)),""))</f>
        <v/>
      </c>
      <c r="F34" s="4">
        <f>IF(OR(C34="",E34=""),"",E34*N(IFERROR(INDEX('SKU'!$E$2:$E$501,MATCH(C34,'SKU'!$A$2:$A$501,0)),"")))</f>
        <v/>
      </c>
    </row>
    <row r="35">
      <c r="B35" s="2">
        <f>IF(A35="","",IFERROR(INDEX('판매구성'!$B$2:$B$501,MATCH(A35,'판매구성'!$A$2:$A$501,0)),""))</f>
        <v/>
      </c>
      <c r="D35" s="2">
        <f>IF(C35="","",IFERROR(INDEX('SKU'!$B$2:$B$501,MATCH(C35,'SKU'!$A$2:$A$501,0)),""))</f>
        <v/>
      </c>
      <c r="F35" s="4">
        <f>IF(OR(C35="",E35=""),"",E35*N(IFERROR(INDEX('SKU'!$E$2:$E$501,MATCH(C35,'SKU'!$A$2:$A$501,0)),"")))</f>
        <v/>
      </c>
    </row>
    <row r="36">
      <c r="B36" s="2">
        <f>IF(A36="","",IFERROR(INDEX('판매구성'!$B$2:$B$501,MATCH(A36,'판매구성'!$A$2:$A$501,0)),""))</f>
        <v/>
      </c>
      <c r="D36" s="2">
        <f>IF(C36="","",IFERROR(INDEX('SKU'!$B$2:$B$501,MATCH(C36,'SKU'!$A$2:$A$501,0)),""))</f>
        <v/>
      </c>
      <c r="F36" s="4">
        <f>IF(OR(C36="",E36=""),"",E36*N(IFERROR(INDEX('SKU'!$E$2:$E$501,MATCH(C36,'SKU'!$A$2:$A$501,0)),"")))</f>
        <v/>
      </c>
    </row>
    <row r="37">
      <c r="B37" s="2">
        <f>IF(A37="","",IFERROR(INDEX('판매구성'!$B$2:$B$501,MATCH(A37,'판매구성'!$A$2:$A$501,0)),""))</f>
        <v/>
      </c>
      <c r="D37" s="2">
        <f>IF(C37="","",IFERROR(INDEX('SKU'!$B$2:$B$501,MATCH(C37,'SKU'!$A$2:$A$501,0)),""))</f>
        <v/>
      </c>
      <c r="F37" s="4">
        <f>IF(OR(C37="",E37=""),"",E37*N(IFERROR(INDEX('SKU'!$E$2:$E$501,MATCH(C37,'SKU'!$A$2:$A$501,0)),"")))</f>
        <v/>
      </c>
    </row>
    <row r="38">
      <c r="B38" s="2">
        <f>IF(A38="","",IFERROR(INDEX('판매구성'!$B$2:$B$501,MATCH(A38,'판매구성'!$A$2:$A$501,0)),""))</f>
        <v/>
      </c>
      <c r="D38" s="2">
        <f>IF(C38="","",IFERROR(INDEX('SKU'!$B$2:$B$501,MATCH(C38,'SKU'!$A$2:$A$501,0)),""))</f>
        <v/>
      </c>
      <c r="F38" s="4">
        <f>IF(OR(C38="",E38=""),"",E38*N(IFERROR(INDEX('SKU'!$E$2:$E$501,MATCH(C38,'SKU'!$A$2:$A$501,0)),"")))</f>
        <v/>
      </c>
    </row>
    <row r="39">
      <c r="B39" s="2">
        <f>IF(A39="","",IFERROR(INDEX('판매구성'!$B$2:$B$501,MATCH(A39,'판매구성'!$A$2:$A$501,0)),""))</f>
        <v/>
      </c>
      <c r="D39" s="2">
        <f>IF(C39="","",IFERROR(INDEX('SKU'!$B$2:$B$501,MATCH(C39,'SKU'!$A$2:$A$501,0)),""))</f>
        <v/>
      </c>
      <c r="F39" s="4">
        <f>IF(OR(C39="",E39=""),"",E39*N(IFERROR(INDEX('SKU'!$E$2:$E$501,MATCH(C39,'SKU'!$A$2:$A$501,0)),"")))</f>
        <v/>
      </c>
    </row>
    <row r="40">
      <c r="B40" s="2">
        <f>IF(A40="","",IFERROR(INDEX('판매구성'!$B$2:$B$501,MATCH(A40,'판매구성'!$A$2:$A$501,0)),""))</f>
        <v/>
      </c>
      <c r="D40" s="2">
        <f>IF(C40="","",IFERROR(INDEX('SKU'!$B$2:$B$501,MATCH(C40,'SKU'!$A$2:$A$501,0)),""))</f>
        <v/>
      </c>
      <c r="F40" s="4">
        <f>IF(OR(C40="",E40=""),"",E40*N(IFERROR(INDEX('SKU'!$E$2:$E$501,MATCH(C40,'SKU'!$A$2:$A$501,0)),"")))</f>
        <v/>
      </c>
    </row>
    <row r="41">
      <c r="B41" s="2">
        <f>IF(A41="","",IFERROR(INDEX('판매구성'!$B$2:$B$501,MATCH(A41,'판매구성'!$A$2:$A$501,0)),""))</f>
        <v/>
      </c>
      <c r="D41" s="2">
        <f>IF(C41="","",IFERROR(INDEX('SKU'!$B$2:$B$501,MATCH(C41,'SKU'!$A$2:$A$501,0)),""))</f>
        <v/>
      </c>
      <c r="F41" s="4">
        <f>IF(OR(C41="",E41=""),"",E41*N(IFERROR(INDEX('SKU'!$E$2:$E$501,MATCH(C41,'SKU'!$A$2:$A$501,0)),"")))</f>
        <v/>
      </c>
    </row>
    <row r="42">
      <c r="B42" s="2">
        <f>IF(A42="","",IFERROR(INDEX('판매구성'!$B$2:$B$501,MATCH(A42,'판매구성'!$A$2:$A$501,0)),""))</f>
        <v/>
      </c>
      <c r="D42" s="2">
        <f>IF(C42="","",IFERROR(INDEX('SKU'!$B$2:$B$501,MATCH(C42,'SKU'!$A$2:$A$501,0)),""))</f>
        <v/>
      </c>
      <c r="F42" s="4">
        <f>IF(OR(C42="",E42=""),"",E42*N(IFERROR(INDEX('SKU'!$E$2:$E$501,MATCH(C42,'SKU'!$A$2:$A$501,0)),"")))</f>
        <v/>
      </c>
    </row>
    <row r="43">
      <c r="B43" s="2">
        <f>IF(A43="","",IFERROR(INDEX('판매구성'!$B$2:$B$501,MATCH(A43,'판매구성'!$A$2:$A$501,0)),""))</f>
        <v/>
      </c>
      <c r="D43" s="2">
        <f>IF(C43="","",IFERROR(INDEX('SKU'!$B$2:$B$501,MATCH(C43,'SKU'!$A$2:$A$501,0)),""))</f>
        <v/>
      </c>
      <c r="F43" s="4">
        <f>IF(OR(C43="",E43=""),"",E43*N(IFERROR(INDEX('SKU'!$E$2:$E$501,MATCH(C43,'SKU'!$A$2:$A$501,0)),"")))</f>
        <v/>
      </c>
    </row>
    <row r="44">
      <c r="B44" s="2">
        <f>IF(A44="","",IFERROR(INDEX('판매구성'!$B$2:$B$501,MATCH(A44,'판매구성'!$A$2:$A$501,0)),""))</f>
        <v/>
      </c>
      <c r="D44" s="2">
        <f>IF(C44="","",IFERROR(INDEX('SKU'!$B$2:$B$501,MATCH(C44,'SKU'!$A$2:$A$501,0)),""))</f>
        <v/>
      </c>
      <c r="F44" s="4">
        <f>IF(OR(C44="",E44=""),"",E44*N(IFERROR(INDEX('SKU'!$E$2:$E$501,MATCH(C44,'SKU'!$A$2:$A$501,0)),"")))</f>
        <v/>
      </c>
    </row>
    <row r="45">
      <c r="B45" s="2">
        <f>IF(A45="","",IFERROR(INDEX('판매구성'!$B$2:$B$501,MATCH(A45,'판매구성'!$A$2:$A$501,0)),""))</f>
        <v/>
      </c>
      <c r="D45" s="2">
        <f>IF(C45="","",IFERROR(INDEX('SKU'!$B$2:$B$501,MATCH(C45,'SKU'!$A$2:$A$501,0)),""))</f>
        <v/>
      </c>
      <c r="F45" s="4">
        <f>IF(OR(C45="",E45=""),"",E45*N(IFERROR(INDEX('SKU'!$E$2:$E$501,MATCH(C45,'SKU'!$A$2:$A$501,0)),"")))</f>
        <v/>
      </c>
    </row>
    <row r="46">
      <c r="B46" s="2">
        <f>IF(A46="","",IFERROR(INDEX('판매구성'!$B$2:$B$501,MATCH(A46,'판매구성'!$A$2:$A$501,0)),""))</f>
        <v/>
      </c>
      <c r="D46" s="2">
        <f>IF(C46="","",IFERROR(INDEX('SKU'!$B$2:$B$501,MATCH(C46,'SKU'!$A$2:$A$501,0)),""))</f>
        <v/>
      </c>
      <c r="F46" s="4">
        <f>IF(OR(C46="",E46=""),"",E46*N(IFERROR(INDEX('SKU'!$E$2:$E$501,MATCH(C46,'SKU'!$A$2:$A$501,0)),"")))</f>
        <v/>
      </c>
    </row>
    <row r="47">
      <c r="B47" s="2">
        <f>IF(A47="","",IFERROR(INDEX('판매구성'!$B$2:$B$501,MATCH(A47,'판매구성'!$A$2:$A$501,0)),""))</f>
        <v/>
      </c>
      <c r="D47" s="2">
        <f>IF(C47="","",IFERROR(INDEX('SKU'!$B$2:$B$501,MATCH(C47,'SKU'!$A$2:$A$501,0)),""))</f>
        <v/>
      </c>
      <c r="F47" s="4">
        <f>IF(OR(C47="",E47=""),"",E47*N(IFERROR(INDEX('SKU'!$E$2:$E$501,MATCH(C47,'SKU'!$A$2:$A$501,0)),"")))</f>
        <v/>
      </c>
    </row>
    <row r="48">
      <c r="B48" s="2">
        <f>IF(A48="","",IFERROR(INDEX('판매구성'!$B$2:$B$501,MATCH(A48,'판매구성'!$A$2:$A$501,0)),""))</f>
        <v/>
      </c>
      <c r="D48" s="2">
        <f>IF(C48="","",IFERROR(INDEX('SKU'!$B$2:$B$501,MATCH(C48,'SKU'!$A$2:$A$501,0)),""))</f>
        <v/>
      </c>
      <c r="F48" s="4">
        <f>IF(OR(C48="",E48=""),"",E48*N(IFERROR(INDEX('SKU'!$E$2:$E$501,MATCH(C48,'SKU'!$A$2:$A$501,0)),"")))</f>
        <v/>
      </c>
    </row>
    <row r="49">
      <c r="B49" s="2">
        <f>IF(A49="","",IFERROR(INDEX('판매구성'!$B$2:$B$501,MATCH(A49,'판매구성'!$A$2:$A$501,0)),""))</f>
        <v/>
      </c>
      <c r="D49" s="2">
        <f>IF(C49="","",IFERROR(INDEX('SKU'!$B$2:$B$501,MATCH(C49,'SKU'!$A$2:$A$501,0)),""))</f>
        <v/>
      </c>
      <c r="F49" s="4">
        <f>IF(OR(C49="",E49=""),"",E49*N(IFERROR(INDEX('SKU'!$E$2:$E$501,MATCH(C49,'SKU'!$A$2:$A$501,0)),"")))</f>
        <v/>
      </c>
    </row>
    <row r="50">
      <c r="B50" s="2">
        <f>IF(A50="","",IFERROR(INDEX('판매구성'!$B$2:$B$501,MATCH(A50,'판매구성'!$A$2:$A$501,0)),""))</f>
        <v/>
      </c>
      <c r="D50" s="2">
        <f>IF(C50="","",IFERROR(INDEX('SKU'!$B$2:$B$501,MATCH(C50,'SKU'!$A$2:$A$501,0)),""))</f>
        <v/>
      </c>
      <c r="F50" s="4">
        <f>IF(OR(C50="",E50=""),"",E50*N(IFERROR(INDEX('SKU'!$E$2:$E$501,MATCH(C50,'SKU'!$A$2:$A$501,0)),"")))</f>
        <v/>
      </c>
    </row>
    <row r="51">
      <c r="B51" s="2">
        <f>IF(A51="","",IFERROR(INDEX('판매구성'!$B$2:$B$501,MATCH(A51,'판매구성'!$A$2:$A$501,0)),""))</f>
        <v/>
      </c>
      <c r="D51" s="2">
        <f>IF(C51="","",IFERROR(INDEX('SKU'!$B$2:$B$501,MATCH(C51,'SKU'!$A$2:$A$501,0)),""))</f>
        <v/>
      </c>
      <c r="F51" s="4">
        <f>IF(OR(C51="",E51=""),"",E51*N(IFERROR(INDEX('SKU'!$E$2:$E$501,MATCH(C51,'SKU'!$A$2:$A$501,0)),"")))</f>
        <v/>
      </c>
    </row>
    <row r="52">
      <c r="B52" s="2">
        <f>IF(A52="","",IFERROR(INDEX('판매구성'!$B$2:$B$501,MATCH(A52,'판매구성'!$A$2:$A$501,0)),""))</f>
        <v/>
      </c>
      <c r="D52" s="2">
        <f>IF(C52="","",IFERROR(INDEX('SKU'!$B$2:$B$501,MATCH(C52,'SKU'!$A$2:$A$501,0)),""))</f>
        <v/>
      </c>
      <c r="F52" s="4">
        <f>IF(OR(C52="",E52=""),"",E52*N(IFERROR(INDEX('SKU'!$E$2:$E$501,MATCH(C52,'SKU'!$A$2:$A$501,0)),"")))</f>
        <v/>
      </c>
    </row>
    <row r="53">
      <c r="B53" s="2">
        <f>IF(A53="","",IFERROR(INDEX('판매구성'!$B$2:$B$501,MATCH(A53,'판매구성'!$A$2:$A$501,0)),""))</f>
        <v/>
      </c>
      <c r="D53" s="2">
        <f>IF(C53="","",IFERROR(INDEX('SKU'!$B$2:$B$501,MATCH(C53,'SKU'!$A$2:$A$501,0)),""))</f>
        <v/>
      </c>
      <c r="F53" s="4">
        <f>IF(OR(C53="",E53=""),"",E53*N(IFERROR(INDEX('SKU'!$E$2:$E$501,MATCH(C53,'SKU'!$A$2:$A$501,0)),"")))</f>
        <v/>
      </c>
    </row>
    <row r="54">
      <c r="B54" s="2">
        <f>IF(A54="","",IFERROR(INDEX('판매구성'!$B$2:$B$501,MATCH(A54,'판매구성'!$A$2:$A$501,0)),""))</f>
        <v/>
      </c>
      <c r="D54" s="2">
        <f>IF(C54="","",IFERROR(INDEX('SKU'!$B$2:$B$501,MATCH(C54,'SKU'!$A$2:$A$501,0)),""))</f>
        <v/>
      </c>
      <c r="F54" s="4">
        <f>IF(OR(C54="",E54=""),"",E54*N(IFERROR(INDEX('SKU'!$E$2:$E$501,MATCH(C54,'SKU'!$A$2:$A$501,0)),"")))</f>
        <v/>
      </c>
    </row>
    <row r="55">
      <c r="B55" s="2">
        <f>IF(A55="","",IFERROR(INDEX('판매구성'!$B$2:$B$501,MATCH(A55,'판매구성'!$A$2:$A$501,0)),""))</f>
        <v/>
      </c>
      <c r="D55" s="2">
        <f>IF(C55="","",IFERROR(INDEX('SKU'!$B$2:$B$501,MATCH(C55,'SKU'!$A$2:$A$501,0)),""))</f>
        <v/>
      </c>
      <c r="F55" s="4">
        <f>IF(OR(C55="",E55=""),"",E55*N(IFERROR(INDEX('SKU'!$E$2:$E$501,MATCH(C55,'SKU'!$A$2:$A$501,0)),"")))</f>
        <v/>
      </c>
    </row>
    <row r="56">
      <c r="B56" s="2">
        <f>IF(A56="","",IFERROR(INDEX('판매구성'!$B$2:$B$501,MATCH(A56,'판매구성'!$A$2:$A$501,0)),""))</f>
        <v/>
      </c>
      <c r="D56" s="2">
        <f>IF(C56="","",IFERROR(INDEX('SKU'!$B$2:$B$501,MATCH(C56,'SKU'!$A$2:$A$501,0)),""))</f>
        <v/>
      </c>
      <c r="F56" s="4">
        <f>IF(OR(C56="",E56=""),"",E56*N(IFERROR(INDEX('SKU'!$E$2:$E$501,MATCH(C56,'SKU'!$A$2:$A$501,0)),"")))</f>
        <v/>
      </c>
    </row>
    <row r="57">
      <c r="B57" s="2">
        <f>IF(A57="","",IFERROR(INDEX('판매구성'!$B$2:$B$501,MATCH(A57,'판매구성'!$A$2:$A$501,0)),""))</f>
        <v/>
      </c>
      <c r="D57" s="2">
        <f>IF(C57="","",IFERROR(INDEX('SKU'!$B$2:$B$501,MATCH(C57,'SKU'!$A$2:$A$501,0)),""))</f>
        <v/>
      </c>
      <c r="F57" s="4">
        <f>IF(OR(C57="",E57=""),"",E57*N(IFERROR(INDEX('SKU'!$E$2:$E$501,MATCH(C57,'SKU'!$A$2:$A$501,0)),"")))</f>
        <v/>
      </c>
    </row>
    <row r="58">
      <c r="B58" s="2">
        <f>IF(A58="","",IFERROR(INDEX('판매구성'!$B$2:$B$501,MATCH(A58,'판매구성'!$A$2:$A$501,0)),""))</f>
        <v/>
      </c>
      <c r="D58" s="2">
        <f>IF(C58="","",IFERROR(INDEX('SKU'!$B$2:$B$501,MATCH(C58,'SKU'!$A$2:$A$501,0)),""))</f>
        <v/>
      </c>
      <c r="F58" s="4">
        <f>IF(OR(C58="",E58=""),"",E58*N(IFERROR(INDEX('SKU'!$E$2:$E$501,MATCH(C58,'SKU'!$A$2:$A$501,0)),"")))</f>
        <v/>
      </c>
    </row>
    <row r="59">
      <c r="B59" s="2">
        <f>IF(A59="","",IFERROR(INDEX('판매구성'!$B$2:$B$501,MATCH(A59,'판매구성'!$A$2:$A$501,0)),""))</f>
        <v/>
      </c>
      <c r="D59" s="2">
        <f>IF(C59="","",IFERROR(INDEX('SKU'!$B$2:$B$501,MATCH(C59,'SKU'!$A$2:$A$501,0)),""))</f>
        <v/>
      </c>
      <c r="F59" s="4">
        <f>IF(OR(C59="",E59=""),"",E59*N(IFERROR(INDEX('SKU'!$E$2:$E$501,MATCH(C59,'SKU'!$A$2:$A$501,0)),"")))</f>
        <v/>
      </c>
    </row>
    <row r="60">
      <c r="B60" s="2">
        <f>IF(A60="","",IFERROR(INDEX('판매구성'!$B$2:$B$501,MATCH(A60,'판매구성'!$A$2:$A$501,0)),""))</f>
        <v/>
      </c>
      <c r="D60" s="2">
        <f>IF(C60="","",IFERROR(INDEX('SKU'!$B$2:$B$501,MATCH(C60,'SKU'!$A$2:$A$501,0)),""))</f>
        <v/>
      </c>
      <c r="F60" s="4">
        <f>IF(OR(C60="",E60=""),"",E60*N(IFERROR(INDEX('SKU'!$E$2:$E$501,MATCH(C60,'SKU'!$A$2:$A$501,0)),"")))</f>
        <v/>
      </c>
    </row>
    <row r="61">
      <c r="B61" s="2">
        <f>IF(A61="","",IFERROR(INDEX('판매구성'!$B$2:$B$501,MATCH(A61,'판매구성'!$A$2:$A$501,0)),""))</f>
        <v/>
      </c>
      <c r="D61" s="2">
        <f>IF(C61="","",IFERROR(INDEX('SKU'!$B$2:$B$501,MATCH(C61,'SKU'!$A$2:$A$501,0)),""))</f>
        <v/>
      </c>
      <c r="F61" s="4">
        <f>IF(OR(C61="",E61=""),"",E61*N(IFERROR(INDEX('SKU'!$E$2:$E$501,MATCH(C61,'SKU'!$A$2:$A$501,0)),"")))</f>
        <v/>
      </c>
    </row>
    <row r="62">
      <c r="B62" s="2">
        <f>IF(A62="","",IFERROR(INDEX('판매구성'!$B$2:$B$501,MATCH(A62,'판매구성'!$A$2:$A$501,0)),""))</f>
        <v/>
      </c>
      <c r="D62" s="2">
        <f>IF(C62="","",IFERROR(INDEX('SKU'!$B$2:$B$501,MATCH(C62,'SKU'!$A$2:$A$501,0)),""))</f>
        <v/>
      </c>
      <c r="F62" s="4">
        <f>IF(OR(C62="",E62=""),"",E62*N(IFERROR(INDEX('SKU'!$E$2:$E$501,MATCH(C62,'SKU'!$A$2:$A$501,0)),"")))</f>
        <v/>
      </c>
    </row>
    <row r="63">
      <c r="B63" s="2">
        <f>IF(A63="","",IFERROR(INDEX('판매구성'!$B$2:$B$501,MATCH(A63,'판매구성'!$A$2:$A$501,0)),""))</f>
        <v/>
      </c>
      <c r="D63" s="2">
        <f>IF(C63="","",IFERROR(INDEX('SKU'!$B$2:$B$501,MATCH(C63,'SKU'!$A$2:$A$501,0)),""))</f>
        <v/>
      </c>
      <c r="F63" s="4">
        <f>IF(OR(C63="",E63=""),"",E63*N(IFERROR(INDEX('SKU'!$E$2:$E$501,MATCH(C63,'SKU'!$A$2:$A$501,0)),"")))</f>
        <v/>
      </c>
    </row>
    <row r="64">
      <c r="B64" s="2">
        <f>IF(A64="","",IFERROR(INDEX('판매구성'!$B$2:$B$501,MATCH(A64,'판매구성'!$A$2:$A$501,0)),""))</f>
        <v/>
      </c>
      <c r="D64" s="2">
        <f>IF(C64="","",IFERROR(INDEX('SKU'!$B$2:$B$501,MATCH(C64,'SKU'!$A$2:$A$501,0)),""))</f>
        <v/>
      </c>
      <c r="F64" s="4">
        <f>IF(OR(C64="",E64=""),"",E64*N(IFERROR(INDEX('SKU'!$E$2:$E$501,MATCH(C64,'SKU'!$A$2:$A$501,0)),"")))</f>
        <v/>
      </c>
    </row>
    <row r="65">
      <c r="B65" s="2">
        <f>IF(A65="","",IFERROR(INDEX('판매구성'!$B$2:$B$501,MATCH(A65,'판매구성'!$A$2:$A$501,0)),""))</f>
        <v/>
      </c>
      <c r="D65" s="2">
        <f>IF(C65="","",IFERROR(INDEX('SKU'!$B$2:$B$501,MATCH(C65,'SKU'!$A$2:$A$501,0)),""))</f>
        <v/>
      </c>
      <c r="F65" s="4">
        <f>IF(OR(C65="",E65=""),"",E65*N(IFERROR(INDEX('SKU'!$E$2:$E$501,MATCH(C65,'SKU'!$A$2:$A$501,0)),"")))</f>
        <v/>
      </c>
    </row>
    <row r="66">
      <c r="B66" s="2">
        <f>IF(A66="","",IFERROR(INDEX('판매구성'!$B$2:$B$501,MATCH(A66,'판매구성'!$A$2:$A$501,0)),""))</f>
        <v/>
      </c>
      <c r="D66" s="2">
        <f>IF(C66="","",IFERROR(INDEX('SKU'!$B$2:$B$501,MATCH(C66,'SKU'!$A$2:$A$501,0)),""))</f>
        <v/>
      </c>
      <c r="F66" s="4">
        <f>IF(OR(C66="",E66=""),"",E66*N(IFERROR(INDEX('SKU'!$E$2:$E$501,MATCH(C66,'SKU'!$A$2:$A$501,0)),"")))</f>
        <v/>
      </c>
    </row>
    <row r="67">
      <c r="B67" s="2">
        <f>IF(A67="","",IFERROR(INDEX('판매구성'!$B$2:$B$501,MATCH(A67,'판매구성'!$A$2:$A$501,0)),""))</f>
        <v/>
      </c>
      <c r="D67" s="2">
        <f>IF(C67="","",IFERROR(INDEX('SKU'!$B$2:$B$501,MATCH(C67,'SKU'!$A$2:$A$501,0)),""))</f>
        <v/>
      </c>
      <c r="F67" s="4">
        <f>IF(OR(C67="",E67=""),"",E67*N(IFERROR(INDEX('SKU'!$E$2:$E$501,MATCH(C67,'SKU'!$A$2:$A$501,0)),"")))</f>
        <v/>
      </c>
    </row>
    <row r="68">
      <c r="B68" s="2">
        <f>IF(A68="","",IFERROR(INDEX('판매구성'!$B$2:$B$501,MATCH(A68,'판매구성'!$A$2:$A$501,0)),""))</f>
        <v/>
      </c>
      <c r="D68" s="2">
        <f>IF(C68="","",IFERROR(INDEX('SKU'!$B$2:$B$501,MATCH(C68,'SKU'!$A$2:$A$501,0)),""))</f>
        <v/>
      </c>
      <c r="F68" s="4">
        <f>IF(OR(C68="",E68=""),"",E68*N(IFERROR(INDEX('SKU'!$E$2:$E$501,MATCH(C68,'SKU'!$A$2:$A$501,0)),"")))</f>
        <v/>
      </c>
    </row>
    <row r="69">
      <c r="B69" s="2">
        <f>IF(A69="","",IFERROR(INDEX('판매구성'!$B$2:$B$501,MATCH(A69,'판매구성'!$A$2:$A$501,0)),""))</f>
        <v/>
      </c>
      <c r="D69" s="2">
        <f>IF(C69="","",IFERROR(INDEX('SKU'!$B$2:$B$501,MATCH(C69,'SKU'!$A$2:$A$501,0)),""))</f>
        <v/>
      </c>
      <c r="F69" s="4">
        <f>IF(OR(C69="",E69=""),"",E69*N(IFERROR(INDEX('SKU'!$E$2:$E$501,MATCH(C69,'SKU'!$A$2:$A$501,0)),"")))</f>
        <v/>
      </c>
    </row>
    <row r="70">
      <c r="B70" s="2">
        <f>IF(A70="","",IFERROR(INDEX('판매구성'!$B$2:$B$501,MATCH(A70,'판매구성'!$A$2:$A$501,0)),""))</f>
        <v/>
      </c>
      <c r="D70" s="2">
        <f>IF(C70="","",IFERROR(INDEX('SKU'!$B$2:$B$501,MATCH(C70,'SKU'!$A$2:$A$501,0)),""))</f>
        <v/>
      </c>
      <c r="F70" s="4">
        <f>IF(OR(C70="",E70=""),"",E70*N(IFERROR(INDEX('SKU'!$E$2:$E$501,MATCH(C70,'SKU'!$A$2:$A$501,0)),"")))</f>
        <v/>
      </c>
    </row>
    <row r="71">
      <c r="B71" s="2">
        <f>IF(A71="","",IFERROR(INDEX('판매구성'!$B$2:$B$501,MATCH(A71,'판매구성'!$A$2:$A$501,0)),""))</f>
        <v/>
      </c>
      <c r="D71" s="2">
        <f>IF(C71="","",IFERROR(INDEX('SKU'!$B$2:$B$501,MATCH(C71,'SKU'!$A$2:$A$501,0)),""))</f>
        <v/>
      </c>
      <c r="F71" s="4">
        <f>IF(OR(C71="",E71=""),"",E71*N(IFERROR(INDEX('SKU'!$E$2:$E$501,MATCH(C71,'SKU'!$A$2:$A$501,0)),"")))</f>
        <v/>
      </c>
    </row>
    <row r="72">
      <c r="B72" s="2">
        <f>IF(A72="","",IFERROR(INDEX('판매구성'!$B$2:$B$501,MATCH(A72,'판매구성'!$A$2:$A$501,0)),""))</f>
        <v/>
      </c>
      <c r="D72" s="2">
        <f>IF(C72="","",IFERROR(INDEX('SKU'!$B$2:$B$501,MATCH(C72,'SKU'!$A$2:$A$501,0)),""))</f>
        <v/>
      </c>
      <c r="F72" s="4">
        <f>IF(OR(C72="",E72=""),"",E72*N(IFERROR(INDEX('SKU'!$E$2:$E$501,MATCH(C72,'SKU'!$A$2:$A$501,0)),"")))</f>
        <v/>
      </c>
    </row>
    <row r="73">
      <c r="B73" s="2">
        <f>IF(A73="","",IFERROR(INDEX('판매구성'!$B$2:$B$501,MATCH(A73,'판매구성'!$A$2:$A$501,0)),""))</f>
        <v/>
      </c>
      <c r="D73" s="2">
        <f>IF(C73="","",IFERROR(INDEX('SKU'!$B$2:$B$501,MATCH(C73,'SKU'!$A$2:$A$501,0)),""))</f>
        <v/>
      </c>
      <c r="F73" s="4">
        <f>IF(OR(C73="",E73=""),"",E73*N(IFERROR(INDEX('SKU'!$E$2:$E$501,MATCH(C73,'SKU'!$A$2:$A$501,0)),"")))</f>
        <v/>
      </c>
    </row>
    <row r="74">
      <c r="B74" s="2">
        <f>IF(A74="","",IFERROR(INDEX('판매구성'!$B$2:$B$501,MATCH(A74,'판매구성'!$A$2:$A$501,0)),""))</f>
        <v/>
      </c>
      <c r="D74" s="2">
        <f>IF(C74="","",IFERROR(INDEX('SKU'!$B$2:$B$501,MATCH(C74,'SKU'!$A$2:$A$501,0)),""))</f>
        <v/>
      </c>
      <c r="F74" s="4">
        <f>IF(OR(C74="",E74=""),"",E74*N(IFERROR(INDEX('SKU'!$E$2:$E$501,MATCH(C74,'SKU'!$A$2:$A$501,0)),"")))</f>
        <v/>
      </c>
    </row>
    <row r="75">
      <c r="B75" s="2">
        <f>IF(A75="","",IFERROR(INDEX('판매구성'!$B$2:$B$501,MATCH(A75,'판매구성'!$A$2:$A$501,0)),""))</f>
        <v/>
      </c>
      <c r="D75" s="2">
        <f>IF(C75="","",IFERROR(INDEX('SKU'!$B$2:$B$501,MATCH(C75,'SKU'!$A$2:$A$501,0)),""))</f>
        <v/>
      </c>
      <c r="F75" s="4">
        <f>IF(OR(C75="",E75=""),"",E75*N(IFERROR(INDEX('SKU'!$E$2:$E$501,MATCH(C75,'SKU'!$A$2:$A$501,0)),"")))</f>
        <v/>
      </c>
    </row>
    <row r="76">
      <c r="B76" s="2">
        <f>IF(A76="","",IFERROR(INDEX('판매구성'!$B$2:$B$501,MATCH(A76,'판매구성'!$A$2:$A$501,0)),""))</f>
        <v/>
      </c>
      <c r="D76" s="2">
        <f>IF(C76="","",IFERROR(INDEX('SKU'!$B$2:$B$501,MATCH(C76,'SKU'!$A$2:$A$501,0)),""))</f>
        <v/>
      </c>
      <c r="F76" s="4">
        <f>IF(OR(C76="",E76=""),"",E76*N(IFERROR(INDEX('SKU'!$E$2:$E$501,MATCH(C76,'SKU'!$A$2:$A$501,0)),"")))</f>
        <v/>
      </c>
    </row>
    <row r="77">
      <c r="B77" s="2">
        <f>IF(A77="","",IFERROR(INDEX('판매구성'!$B$2:$B$501,MATCH(A77,'판매구성'!$A$2:$A$501,0)),""))</f>
        <v/>
      </c>
      <c r="D77" s="2">
        <f>IF(C77="","",IFERROR(INDEX('SKU'!$B$2:$B$501,MATCH(C77,'SKU'!$A$2:$A$501,0)),""))</f>
        <v/>
      </c>
      <c r="F77" s="4">
        <f>IF(OR(C77="",E77=""),"",E77*N(IFERROR(INDEX('SKU'!$E$2:$E$501,MATCH(C77,'SKU'!$A$2:$A$501,0)),"")))</f>
        <v/>
      </c>
    </row>
    <row r="78">
      <c r="B78" s="2">
        <f>IF(A78="","",IFERROR(INDEX('판매구성'!$B$2:$B$501,MATCH(A78,'판매구성'!$A$2:$A$501,0)),""))</f>
        <v/>
      </c>
      <c r="D78" s="2">
        <f>IF(C78="","",IFERROR(INDEX('SKU'!$B$2:$B$501,MATCH(C78,'SKU'!$A$2:$A$501,0)),""))</f>
        <v/>
      </c>
      <c r="F78" s="4">
        <f>IF(OR(C78="",E78=""),"",E78*N(IFERROR(INDEX('SKU'!$E$2:$E$501,MATCH(C78,'SKU'!$A$2:$A$501,0)),"")))</f>
        <v/>
      </c>
    </row>
    <row r="79">
      <c r="B79" s="2">
        <f>IF(A79="","",IFERROR(INDEX('판매구성'!$B$2:$B$501,MATCH(A79,'판매구성'!$A$2:$A$501,0)),""))</f>
        <v/>
      </c>
      <c r="D79" s="2">
        <f>IF(C79="","",IFERROR(INDEX('SKU'!$B$2:$B$501,MATCH(C79,'SKU'!$A$2:$A$501,0)),""))</f>
        <v/>
      </c>
      <c r="F79" s="4">
        <f>IF(OR(C79="",E79=""),"",E79*N(IFERROR(INDEX('SKU'!$E$2:$E$501,MATCH(C79,'SKU'!$A$2:$A$501,0)),"")))</f>
        <v/>
      </c>
    </row>
    <row r="80">
      <c r="B80" s="2">
        <f>IF(A80="","",IFERROR(INDEX('판매구성'!$B$2:$B$501,MATCH(A80,'판매구성'!$A$2:$A$501,0)),""))</f>
        <v/>
      </c>
      <c r="D80" s="2">
        <f>IF(C80="","",IFERROR(INDEX('SKU'!$B$2:$B$501,MATCH(C80,'SKU'!$A$2:$A$501,0)),""))</f>
        <v/>
      </c>
      <c r="F80" s="4">
        <f>IF(OR(C80="",E80=""),"",E80*N(IFERROR(INDEX('SKU'!$E$2:$E$501,MATCH(C80,'SKU'!$A$2:$A$501,0)),"")))</f>
        <v/>
      </c>
    </row>
    <row r="81">
      <c r="B81" s="2">
        <f>IF(A81="","",IFERROR(INDEX('판매구성'!$B$2:$B$501,MATCH(A81,'판매구성'!$A$2:$A$501,0)),""))</f>
        <v/>
      </c>
      <c r="D81" s="2">
        <f>IF(C81="","",IFERROR(INDEX('SKU'!$B$2:$B$501,MATCH(C81,'SKU'!$A$2:$A$501,0)),""))</f>
        <v/>
      </c>
      <c r="F81" s="4">
        <f>IF(OR(C81="",E81=""),"",E81*N(IFERROR(INDEX('SKU'!$E$2:$E$501,MATCH(C81,'SKU'!$A$2:$A$501,0)),"")))</f>
        <v/>
      </c>
    </row>
    <row r="82">
      <c r="B82" s="2">
        <f>IF(A82="","",IFERROR(INDEX('판매구성'!$B$2:$B$501,MATCH(A82,'판매구성'!$A$2:$A$501,0)),""))</f>
        <v/>
      </c>
      <c r="D82" s="2">
        <f>IF(C82="","",IFERROR(INDEX('SKU'!$B$2:$B$501,MATCH(C82,'SKU'!$A$2:$A$501,0)),""))</f>
        <v/>
      </c>
      <c r="F82" s="4">
        <f>IF(OR(C82="",E82=""),"",E82*N(IFERROR(INDEX('SKU'!$E$2:$E$501,MATCH(C82,'SKU'!$A$2:$A$501,0)),"")))</f>
        <v/>
      </c>
    </row>
    <row r="83">
      <c r="B83" s="2">
        <f>IF(A83="","",IFERROR(INDEX('판매구성'!$B$2:$B$501,MATCH(A83,'판매구성'!$A$2:$A$501,0)),""))</f>
        <v/>
      </c>
      <c r="D83" s="2">
        <f>IF(C83="","",IFERROR(INDEX('SKU'!$B$2:$B$501,MATCH(C83,'SKU'!$A$2:$A$501,0)),""))</f>
        <v/>
      </c>
      <c r="F83" s="4">
        <f>IF(OR(C83="",E83=""),"",E83*N(IFERROR(INDEX('SKU'!$E$2:$E$501,MATCH(C83,'SKU'!$A$2:$A$501,0)),"")))</f>
        <v/>
      </c>
    </row>
    <row r="84">
      <c r="B84" s="2">
        <f>IF(A84="","",IFERROR(INDEX('판매구성'!$B$2:$B$501,MATCH(A84,'판매구성'!$A$2:$A$501,0)),""))</f>
        <v/>
      </c>
      <c r="D84" s="2">
        <f>IF(C84="","",IFERROR(INDEX('SKU'!$B$2:$B$501,MATCH(C84,'SKU'!$A$2:$A$501,0)),""))</f>
        <v/>
      </c>
      <c r="F84" s="4">
        <f>IF(OR(C84="",E84=""),"",E84*N(IFERROR(INDEX('SKU'!$E$2:$E$501,MATCH(C84,'SKU'!$A$2:$A$501,0)),"")))</f>
        <v/>
      </c>
    </row>
    <row r="85">
      <c r="B85" s="2">
        <f>IF(A85="","",IFERROR(INDEX('판매구성'!$B$2:$B$501,MATCH(A85,'판매구성'!$A$2:$A$501,0)),""))</f>
        <v/>
      </c>
      <c r="D85" s="2">
        <f>IF(C85="","",IFERROR(INDEX('SKU'!$B$2:$B$501,MATCH(C85,'SKU'!$A$2:$A$501,0)),""))</f>
        <v/>
      </c>
      <c r="F85" s="4">
        <f>IF(OR(C85="",E85=""),"",E85*N(IFERROR(INDEX('SKU'!$E$2:$E$501,MATCH(C85,'SKU'!$A$2:$A$501,0)),"")))</f>
        <v/>
      </c>
    </row>
    <row r="86">
      <c r="B86" s="2">
        <f>IF(A86="","",IFERROR(INDEX('판매구성'!$B$2:$B$501,MATCH(A86,'판매구성'!$A$2:$A$501,0)),""))</f>
        <v/>
      </c>
      <c r="D86" s="2">
        <f>IF(C86="","",IFERROR(INDEX('SKU'!$B$2:$B$501,MATCH(C86,'SKU'!$A$2:$A$501,0)),""))</f>
        <v/>
      </c>
      <c r="F86" s="4">
        <f>IF(OR(C86="",E86=""),"",E86*N(IFERROR(INDEX('SKU'!$E$2:$E$501,MATCH(C86,'SKU'!$A$2:$A$501,0)),"")))</f>
        <v/>
      </c>
    </row>
    <row r="87">
      <c r="B87" s="2">
        <f>IF(A87="","",IFERROR(INDEX('판매구성'!$B$2:$B$501,MATCH(A87,'판매구성'!$A$2:$A$501,0)),""))</f>
        <v/>
      </c>
      <c r="D87" s="2">
        <f>IF(C87="","",IFERROR(INDEX('SKU'!$B$2:$B$501,MATCH(C87,'SKU'!$A$2:$A$501,0)),""))</f>
        <v/>
      </c>
      <c r="F87" s="4">
        <f>IF(OR(C87="",E87=""),"",E87*N(IFERROR(INDEX('SKU'!$E$2:$E$501,MATCH(C87,'SKU'!$A$2:$A$501,0)),"")))</f>
        <v/>
      </c>
    </row>
    <row r="88">
      <c r="B88" s="2">
        <f>IF(A88="","",IFERROR(INDEX('판매구성'!$B$2:$B$501,MATCH(A88,'판매구성'!$A$2:$A$501,0)),""))</f>
        <v/>
      </c>
      <c r="D88" s="2">
        <f>IF(C88="","",IFERROR(INDEX('SKU'!$B$2:$B$501,MATCH(C88,'SKU'!$A$2:$A$501,0)),""))</f>
        <v/>
      </c>
      <c r="F88" s="4">
        <f>IF(OR(C88="",E88=""),"",E88*N(IFERROR(INDEX('SKU'!$E$2:$E$501,MATCH(C88,'SKU'!$A$2:$A$501,0)),"")))</f>
        <v/>
      </c>
    </row>
    <row r="89">
      <c r="B89" s="2">
        <f>IF(A89="","",IFERROR(INDEX('판매구성'!$B$2:$B$501,MATCH(A89,'판매구성'!$A$2:$A$501,0)),""))</f>
        <v/>
      </c>
      <c r="D89" s="2">
        <f>IF(C89="","",IFERROR(INDEX('SKU'!$B$2:$B$501,MATCH(C89,'SKU'!$A$2:$A$501,0)),""))</f>
        <v/>
      </c>
      <c r="F89" s="4">
        <f>IF(OR(C89="",E89=""),"",E89*N(IFERROR(INDEX('SKU'!$E$2:$E$501,MATCH(C89,'SKU'!$A$2:$A$501,0)),"")))</f>
        <v/>
      </c>
    </row>
    <row r="90">
      <c r="B90" s="2">
        <f>IF(A90="","",IFERROR(INDEX('판매구성'!$B$2:$B$501,MATCH(A90,'판매구성'!$A$2:$A$501,0)),""))</f>
        <v/>
      </c>
      <c r="D90" s="2">
        <f>IF(C90="","",IFERROR(INDEX('SKU'!$B$2:$B$501,MATCH(C90,'SKU'!$A$2:$A$501,0)),""))</f>
        <v/>
      </c>
      <c r="F90" s="4">
        <f>IF(OR(C90="",E90=""),"",E90*N(IFERROR(INDEX('SKU'!$E$2:$E$501,MATCH(C90,'SKU'!$A$2:$A$501,0)),"")))</f>
        <v/>
      </c>
    </row>
    <row r="91">
      <c r="B91" s="2">
        <f>IF(A91="","",IFERROR(INDEX('판매구성'!$B$2:$B$501,MATCH(A91,'판매구성'!$A$2:$A$501,0)),""))</f>
        <v/>
      </c>
      <c r="D91" s="2">
        <f>IF(C91="","",IFERROR(INDEX('SKU'!$B$2:$B$501,MATCH(C91,'SKU'!$A$2:$A$501,0)),""))</f>
        <v/>
      </c>
      <c r="F91" s="4">
        <f>IF(OR(C91="",E91=""),"",E91*N(IFERROR(INDEX('SKU'!$E$2:$E$501,MATCH(C91,'SKU'!$A$2:$A$501,0)),"")))</f>
        <v/>
      </c>
    </row>
    <row r="92">
      <c r="B92" s="2">
        <f>IF(A92="","",IFERROR(INDEX('판매구성'!$B$2:$B$501,MATCH(A92,'판매구성'!$A$2:$A$501,0)),""))</f>
        <v/>
      </c>
      <c r="D92" s="2">
        <f>IF(C92="","",IFERROR(INDEX('SKU'!$B$2:$B$501,MATCH(C92,'SKU'!$A$2:$A$501,0)),""))</f>
        <v/>
      </c>
      <c r="F92" s="4">
        <f>IF(OR(C92="",E92=""),"",E92*N(IFERROR(INDEX('SKU'!$E$2:$E$501,MATCH(C92,'SKU'!$A$2:$A$501,0)),"")))</f>
        <v/>
      </c>
    </row>
    <row r="93">
      <c r="B93" s="2">
        <f>IF(A93="","",IFERROR(INDEX('판매구성'!$B$2:$B$501,MATCH(A93,'판매구성'!$A$2:$A$501,0)),""))</f>
        <v/>
      </c>
      <c r="D93" s="2">
        <f>IF(C93="","",IFERROR(INDEX('SKU'!$B$2:$B$501,MATCH(C93,'SKU'!$A$2:$A$501,0)),""))</f>
        <v/>
      </c>
      <c r="F93" s="4">
        <f>IF(OR(C93="",E93=""),"",E93*N(IFERROR(INDEX('SKU'!$E$2:$E$501,MATCH(C93,'SKU'!$A$2:$A$501,0)),"")))</f>
        <v/>
      </c>
    </row>
    <row r="94">
      <c r="B94" s="2">
        <f>IF(A94="","",IFERROR(INDEX('판매구성'!$B$2:$B$501,MATCH(A94,'판매구성'!$A$2:$A$501,0)),""))</f>
        <v/>
      </c>
      <c r="D94" s="2">
        <f>IF(C94="","",IFERROR(INDEX('SKU'!$B$2:$B$501,MATCH(C94,'SKU'!$A$2:$A$501,0)),""))</f>
        <v/>
      </c>
      <c r="F94" s="4">
        <f>IF(OR(C94="",E94=""),"",E94*N(IFERROR(INDEX('SKU'!$E$2:$E$501,MATCH(C94,'SKU'!$A$2:$A$501,0)),"")))</f>
        <v/>
      </c>
    </row>
    <row r="95">
      <c r="B95" s="2">
        <f>IF(A95="","",IFERROR(INDEX('판매구성'!$B$2:$B$501,MATCH(A95,'판매구성'!$A$2:$A$501,0)),""))</f>
        <v/>
      </c>
      <c r="D95" s="2">
        <f>IF(C95="","",IFERROR(INDEX('SKU'!$B$2:$B$501,MATCH(C95,'SKU'!$A$2:$A$501,0)),""))</f>
        <v/>
      </c>
      <c r="F95" s="4">
        <f>IF(OR(C95="",E95=""),"",E95*N(IFERROR(INDEX('SKU'!$E$2:$E$501,MATCH(C95,'SKU'!$A$2:$A$501,0)),"")))</f>
        <v/>
      </c>
    </row>
    <row r="96">
      <c r="B96" s="2">
        <f>IF(A96="","",IFERROR(INDEX('판매구성'!$B$2:$B$501,MATCH(A96,'판매구성'!$A$2:$A$501,0)),""))</f>
        <v/>
      </c>
      <c r="D96" s="2">
        <f>IF(C96="","",IFERROR(INDEX('SKU'!$B$2:$B$501,MATCH(C96,'SKU'!$A$2:$A$501,0)),""))</f>
        <v/>
      </c>
      <c r="F96" s="4">
        <f>IF(OR(C96="",E96=""),"",E96*N(IFERROR(INDEX('SKU'!$E$2:$E$501,MATCH(C96,'SKU'!$A$2:$A$501,0)),"")))</f>
        <v/>
      </c>
    </row>
    <row r="97">
      <c r="B97" s="2">
        <f>IF(A97="","",IFERROR(INDEX('판매구성'!$B$2:$B$501,MATCH(A97,'판매구성'!$A$2:$A$501,0)),""))</f>
        <v/>
      </c>
      <c r="D97" s="2">
        <f>IF(C97="","",IFERROR(INDEX('SKU'!$B$2:$B$501,MATCH(C97,'SKU'!$A$2:$A$501,0)),""))</f>
        <v/>
      </c>
      <c r="F97" s="4">
        <f>IF(OR(C97="",E97=""),"",E97*N(IFERROR(INDEX('SKU'!$E$2:$E$501,MATCH(C97,'SKU'!$A$2:$A$501,0)),"")))</f>
        <v/>
      </c>
    </row>
    <row r="98">
      <c r="B98" s="2">
        <f>IF(A98="","",IFERROR(INDEX('판매구성'!$B$2:$B$501,MATCH(A98,'판매구성'!$A$2:$A$501,0)),""))</f>
        <v/>
      </c>
      <c r="D98" s="2">
        <f>IF(C98="","",IFERROR(INDEX('SKU'!$B$2:$B$501,MATCH(C98,'SKU'!$A$2:$A$501,0)),""))</f>
        <v/>
      </c>
      <c r="F98" s="4">
        <f>IF(OR(C98="",E98=""),"",E98*N(IFERROR(INDEX('SKU'!$E$2:$E$501,MATCH(C98,'SKU'!$A$2:$A$501,0)),"")))</f>
        <v/>
      </c>
    </row>
    <row r="99">
      <c r="B99" s="2">
        <f>IF(A99="","",IFERROR(INDEX('판매구성'!$B$2:$B$501,MATCH(A99,'판매구성'!$A$2:$A$501,0)),""))</f>
        <v/>
      </c>
      <c r="D99" s="2">
        <f>IF(C99="","",IFERROR(INDEX('SKU'!$B$2:$B$501,MATCH(C99,'SKU'!$A$2:$A$501,0)),""))</f>
        <v/>
      </c>
      <c r="F99" s="4">
        <f>IF(OR(C99="",E99=""),"",E99*N(IFERROR(INDEX('SKU'!$E$2:$E$501,MATCH(C99,'SKU'!$A$2:$A$501,0)),"")))</f>
        <v/>
      </c>
    </row>
    <row r="100">
      <c r="B100" s="2">
        <f>IF(A100="","",IFERROR(INDEX('판매구성'!$B$2:$B$501,MATCH(A100,'판매구성'!$A$2:$A$501,0)),""))</f>
        <v/>
      </c>
      <c r="D100" s="2">
        <f>IF(C100="","",IFERROR(INDEX('SKU'!$B$2:$B$501,MATCH(C100,'SKU'!$A$2:$A$501,0)),""))</f>
        <v/>
      </c>
      <c r="F100" s="4">
        <f>IF(OR(C100="",E100=""),"",E100*N(IFERROR(INDEX('SKU'!$E$2:$E$501,MATCH(C100,'SKU'!$A$2:$A$501,0)),"")))</f>
        <v/>
      </c>
    </row>
    <row r="101">
      <c r="B101" s="2">
        <f>IF(A101="","",IFERROR(INDEX('판매구성'!$B$2:$B$501,MATCH(A101,'판매구성'!$A$2:$A$501,0)),""))</f>
        <v/>
      </c>
      <c r="D101" s="2">
        <f>IF(C101="","",IFERROR(INDEX('SKU'!$B$2:$B$501,MATCH(C101,'SKU'!$A$2:$A$501,0)),""))</f>
        <v/>
      </c>
      <c r="F101" s="4">
        <f>IF(OR(C101="",E101=""),"",E101*N(IFERROR(INDEX('SKU'!$E$2:$E$501,MATCH(C101,'SKU'!$A$2:$A$501,0)),"")))</f>
        <v/>
      </c>
    </row>
    <row r="102">
      <c r="B102" s="2">
        <f>IF(A102="","",IFERROR(INDEX('판매구성'!$B$2:$B$501,MATCH(A102,'판매구성'!$A$2:$A$501,0)),""))</f>
        <v/>
      </c>
      <c r="D102" s="2">
        <f>IF(C102="","",IFERROR(INDEX('SKU'!$B$2:$B$501,MATCH(C102,'SKU'!$A$2:$A$501,0)),""))</f>
        <v/>
      </c>
      <c r="F102" s="4">
        <f>IF(OR(C102="",E102=""),"",E102*N(IFERROR(INDEX('SKU'!$E$2:$E$501,MATCH(C102,'SKU'!$A$2:$A$501,0)),"")))</f>
        <v/>
      </c>
    </row>
    <row r="103">
      <c r="B103" s="2">
        <f>IF(A103="","",IFERROR(INDEX('판매구성'!$B$2:$B$501,MATCH(A103,'판매구성'!$A$2:$A$501,0)),""))</f>
        <v/>
      </c>
      <c r="D103" s="2">
        <f>IF(C103="","",IFERROR(INDEX('SKU'!$B$2:$B$501,MATCH(C103,'SKU'!$A$2:$A$501,0)),""))</f>
        <v/>
      </c>
      <c r="F103" s="4">
        <f>IF(OR(C103="",E103=""),"",E103*N(IFERROR(INDEX('SKU'!$E$2:$E$501,MATCH(C103,'SKU'!$A$2:$A$501,0)),"")))</f>
        <v/>
      </c>
    </row>
    <row r="104">
      <c r="B104" s="2">
        <f>IF(A104="","",IFERROR(INDEX('판매구성'!$B$2:$B$501,MATCH(A104,'판매구성'!$A$2:$A$501,0)),""))</f>
        <v/>
      </c>
      <c r="D104" s="2">
        <f>IF(C104="","",IFERROR(INDEX('SKU'!$B$2:$B$501,MATCH(C104,'SKU'!$A$2:$A$501,0)),""))</f>
        <v/>
      </c>
      <c r="F104" s="4">
        <f>IF(OR(C104="",E104=""),"",E104*N(IFERROR(INDEX('SKU'!$E$2:$E$501,MATCH(C104,'SKU'!$A$2:$A$501,0)),"")))</f>
        <v/>
      </c>
    </row>
    <row r="105">
      <c r="B105" s="2">
        <f>IF(A105="","",IFERROR(INDEX('판매구성'!$B$2:$B$501,MATCH(A105,'판매구성'!$A$2:$A$501,0)),""))</f>
        <v/>
      </c>
      <c r="D105" s="2">
        <f>IF(C105="","",IFERROR(INDEX('SKU'!$B$2:$B$501,MATCH(C105,'SKU'!$A$2:$A$501,0)),""))</f>
        <v/>
      </c>
      <c r="F105" s="4">
        <f>IF(OR(C105="",E105=""),"",E105*N(IFERROR(INDEX('SKU'!$E$2:$E$501,MATCH(C105,'SKU'!$A$2:$A$501,0)),"")))</f>
        <v/>
      </c>
    </row>
    <row r="106">
      <c r="B106" s="2">
        <f>IF(A106="","",IFERROR(INDEX('판매구성'!$B$2:$B$501,MATCH(A106,'판매구성'!$A$2:$A$501,0)),""))</f>
        <v/>
      </c>
      <c r="D106" s="2">
        <f>IF(C106="","",IFERROR(INDEX('SKU'!$B$2:$B$501,MATCH(C106,'SKU'!$A$2:$A$501,0)),""))</f>
        <v/>
      </c>
      <c r="F106" s="4">
        <f>IF(OR(C106="",E106=""),"",E106*N(IFERROR(INDEX('SKU'!$E$2:$E$501,MATCH(C106,'SKU'!$A$2:$A$501,0)),"")))</f>
        <v/>
      </c>
    </row>
    <row r="107">
      <c r="B107" s="2">
        <f>IF(A107="","",IFERROR(INDEX('판매구성'!$B$2:$B$501,MATCH(A107,'판매구성'!$A$2:$A$501,0)),""))</f>
        <v/>
      </c>
      <c r="D107" s="2">
        <f>IF(C107="","",IFERROR(INDEX('SKU'!$B$2:$B$501,MATCH(C107,'SKU'!$A$2:$A$501,0)),""))</f>
        <v/>
      </c>
      <c r="F107" s="4">
        <f>IF(OR(C107="",E107=""),"",E107*N(IFERROR(INDEX('SKU'!$E$2:$E$501,MATCH(C107,'SKU'!$A$2:$A$501,0)),"")))</f>
        <v/>
      </c>
    </row>
    <row r="108">
      <c r="B108" s="2">
        <f>IF(A108="","",IFERROR(INDEX('판매구성'!$B$2:$B$501,MATCH(A108,'판매구성'!$A$2:$A$501,0)),""))</f>
        <v/>
      </c>
      <c r="D108" s="2">
        <f>IF(C108="","",IFERROR(INDEX('SKU'!$B$2:$B$501,MATCH(C108,'SKU'!$A$2:$A$501,0)),""))</f>
        <v/>
      </c>
      <c r="F108" s="4">
        <f>IF(OR(C108="",E108=""),"",E108*N(IFERROR(INDEX('SKU'!$E$2:$E$501,MATCH(C108,'SKU'!$A$2:$A$501,0)),"")))</f>
        <v/>
      </c>
    </row>
    <row r="109">
      <c r="B109" s="2">
        <f>IF(A109="","",IFERROR(INDEX('판매구성'!$B$2:$B$501,MATCH(A109,'판매구성'!$A$2:$A$501,0)),""))</f>
        <v/>
      </c>
      <c r="D109" s="2">
        <f>IF(C109="","",IFERROR(INDEX('SKU'!$B$2:$B$501,MATCH(C109,'SKU'!$A$2:$A$501,0)),""))</f>
        <v/>
      </c>
      <c r="F109" s="4">
        <f>IF(OR(C109="",E109=""),"",E109*N(IFERROR(INDEX('SKU'!$E$2:$E$501,MATCH(C109,'SKU'!$A$2:$A$501,0)),"")))</f>
        <v/>
      </c>
    </row>
    <row r="110">
      <c r="B110" s="2">
        <f>IF(A110="","",IFERROR(INDEX('판매구성'!$B$2:$B$501,MATCH(A110,'판매구성'!$A$2:$A$501,0)),""))</f>
        <v/>
      </c>
      <c r="D110" s="2">
        <f>IF(C110="","",IFERROR(INDEX('SKU'!$B$2:$B$501,MATCH(C110,'SKU'!$A$2:$A$501,0)),""))</f>
        <v/>
      </c>
      <c r="F110" s="4">
        <f>IF(OR(C110="",E110=""),"",E110*N(IFERROR(INDEX('SKU'!$E$2:$E$501,MATCH(C110,'SKU'!$A$2:$A$501,0)),"")))</f>
        <v/>
      </c>
    </row>
    <row r="111">
      <c r="B111" s="2">
        <f>IF(A111="","",IFERROR(INDEX('판매구성'!$B$2:$B$501,MATCH(A111,'판매구성'!$A$2:$A$501,0)),""))</f>
        <v/>
      </c>
      <c r="D111" s="2">
        <f>IF(C111="","",IFERROR(INDEX('SKU'!$B$2:$B$501,MATCH(C111,'SKU'!$A$2:$A$501,0)),""))</f>
        <v/>
      </c>
      <c r="F111" s="4">
        <f>IF(OR(C111="",E111=""),"",E111*N(IFERROR(INDEX('SKU'!$E$2:$E$501,MATCH(C111,'SKU'!$A$2:$A$501,0)),"")))</f>
        <v/>
      </c>
    </row>
    <row r="112">
      <c r="B112" s="2">
        <f>IF(A112="","",IFERROR(INDEX('판매구성'!$B$2:$B$501,MATCH(A112,'판매구성'!$A$2:$A$501,0)),""))</f>
        <v/>
      </c>
      <c r="D112" s="2">
        <f>IF(C112="","",IFERROR(INDEX('SKU'!$B$2:$B$501,MATCH(C112,'SKU'!$A$2:$A$501,0)),""))</f>
        <v/>
      </c>
      <c r="F112" s="4">
        <f>IF(OR(C112="",E112=""),"",E112*N(IFERROR(INDEX('SKU'!$E$2:$E$501,MATCH(C112,'SKU'!$A$2:$A$501,0)),"")))</f>
        <v/>
      </c>
    </row>
    <row r="113">
      <c r="B113" s="2">
        <f>IF(A113="","",IFERROR(INDEX('판매구성'!$B$2:$B$501,MATCH(A113,'판매구성'!$A$2:$A$501,0)),""))</f>
        <v/>
      </c>
      <c r="D113" s="2">
        <f>IF(C113="","",IFERROR(INDEX('SKU'!$B$2:$B$501,MATCH(C113,'SKU'!$A$2:$A$501,0)),""))</f>
        <v/>
      </c>
      <c r="F113" s="4">
        <f>IF(OR(C113="",E113=""),"",E113*N(IFERROR(INDEX('SKU'!$E$2:$E$501,MATCH(C113,'SKU'!$A$2:$A$501,0)),"")))</f>
        <v/>
      </c>
    </row>
    <row r="114">
      <c r="B114" s="2">
        <f>IF(A114="","",IFERROR(INDEX('판매구성'!$B$2:$B$501,MATCH(A114,'판매구성'!$A$2:$A$501,0)),""))</f>
        <v/>
      </c>
      <c r="D114" s="2">
        <f>IF(C114="","",IFERROR(INDEX('SKU'!$B$2:$B$501,MATCH(C114,'SKU'!$A$2:$A$501,0)),""))</f>
        <v/>
      </c>
      <c r="F114" s="4">
        <f>IF(OR(C114="",E114=""),"",E114*N(IFERROR(INDEX('SKU'!$E$2:$E$501,MATCH(C114,'SKU'!$A$2:$A$501,0)),"")))</f>
        <v/>
      </c>
    </row>
    <row r="115">
      <c r="B115" s="2">
        <f>IF(A115="","",IFERROR(INDEX('판매구성'!$B$2:$B$501,MATCH(A115,'판매구성'!$A$2:$A$501,0)),""))</f>
        <v/>
      </c>
      <c r="D115" s="2">
        <f>IF(C115="","",IFERROR(INDEX('SKU'!$B$2:$B$501,MATCH(C115,'SKU'!$A$2:$A$501,0)),""))</f>
        <v/>
      </c>
      <c r="F115" s="4">
        <f>IF(OR(C115="",E115=""),"",E115*N(IFERROR(INDEX('SKU'!$E$2:$E$501,MATCH(C115,'SKU'!$A$2:$A$501,0)),"")))</f>
        <v/>
      </c>
    </row>
    <row r="116">
      <c r="B116" s="2">
        <f>IF(A116="","",IFERROR(INDEX('판매구성'!$B$2:$B$501,MATCH(A116,'판매구성'!$A$2:$A$501,0)),""))</f>
        <v/>
      </c>
      <c r="D116" s="2">
        <f>IF(C116="","",IFERROR(INDEX('SKU'!$B$2:$B$501,MATCH(C116,'SKU'!$A$2:$A$501,0)),""))</f>
        <v/>
      </c>
      <c r="F116" s="4">
        <f>IF(OR(C116="",E116=""),"",E116*N(IFERROR(INDEX('SKU'!$E$2:$E$501,MATCH(C116,'SKU'!$A$2:$A$501,0)),"")))</f>
        <v/>
      </c>
    </row>
    <row r="117">
      <c r="B117" s="2">
        <f>IF(A117="","",IFERROR(INDEX('판매구성'!$B$2:$B$501,MATCH(A117,'판매구성'!$A$2:$A$501,0)),""))</f>
        <v/>
      </c>
      <c r="D117" s="2">
        <f>IF(C117="","",IFERROR(INDEX('SKU'!$B$2:$B$501,MATCH(C117,'SKU'!$A$2:$A$501,0)),""))</f>
        <v/>
      </c>
      <c r="F117" s="4">
        <f>IF(OR(C117="",E117=""),"",E117*N(IFERROR(INDEX('SKU'!$E$2:$E$501,MATCH(C117,'SKU'!$A$2:$A$501,0)),"")))</f>
        <v/>
      </c>
    </row>
    <row r="118">
      <c r="B118" s="2">
        <f>IF(A118="","",IFERROR(INDEX('판매구성'!$B$2:$B$501,MATCH(A118,'판매구성'!$A$2:$A$501,0)),""))</f>
        <v/>
      </c>
      <c r="D118" s="2">
        <f>IF(C118="","",IFERROR(INDEX('SKU'!$B$2:$B$501,MATCH(C118,'SKU'!$A$2:$A$501,0)),""))</f>
        <v/>
      </c>
      <c r="F118" s="4">
        <f>IF(OR(C118="",E118=""),"",E118*N(IFERROR(INDEX('SKU'!$E$2:$E$501,MATCH(C118,'SKU'!$A$2:$A$501,0)),"")))</f>
        <v/>
      </c>
    </row>
    <row r="119">
      <c r="B119" s="2">
        <f>IF(A119="","",IFERROR(INDEX('판매구성'!$B$2:$B$501,MATCH(A119,'판매구성'!$A$2:$A$501,0)),""))</f>
        <v/>
      </c>
      <c r="D119" s="2">
        <f>IF(C119="","",IFERROR(INDEX('SKU'!$B$2:$B$501,MATCH(C119,'SKU'!$A$2:$A$501,0)),""))</f>
        <v/>
      </c>
      <c r="F119" s="4">
        <f>IF(OR(C119="",E119=""),"",E119*N(IFERROR(INDEX('SKU'!$E$2:$E$501,MATCH(C119,'SKU'!$A$2:$A$501,0)),"")))</f>
        <v/>
      </c>
    </row>
    <row r="120">
      <c r="B120" s="2">
        <f>IF(A120="","",IFERROR(INDEX('판매구성'!$B$2:$B$501,MATCH(A120,'판매구성'!$A$2:$A$501,0)),""))</f>
        <v/>
      </c>
      <c r="D120" s="2">
        <f>IF(C120="","",IFERROR(INDEX('SKU'!$B$2:$B$501,MATCH(C120,'SKU'!$A$2:$A$501,0)),""))</f>
        <v/>
      </c>
      <c r="F120" s="4">
        <f>IF(OR(C120="",E120=""),"",E120*N(IFERROR(INDEX('SKU'!$E$2:$E$501,MATCH(C120,'SKU'!$A$2:$A$501,0)),"")))</f>
        <v/>
      </c>
    </row>
    <row r="121">
      <c r="B121" s="2">
        <f>IF(A121="","",IFERROR(INDEX('판매구성'!$B$2:$B$501,MATCH(A121,'판매구성'!$A$2:$A$501,0)),""))</f>
        <v/>
      </c>
      <c r="D121" s="2">
        <f>IF(C121="","",IFERROR(INDEX('SKU'!$B$2:$B$501,MATCH(C121,'SKU'!$A$2:$A$501,0)),""))</f>
        <v/>
      </c>
      <c r="F121" s="4">
        <f>IF(OR(C121="",E121=""),"",E121*N(IFERROR(INDEX('SKU'!$E$2:$E$501,MATCH(C121,'SKU'!$A$2:$A$501,0)),"")))</f>
        <v/>
      </c>
    </row>
    <row r="122">
      <c r="B122" s="2">
        <f>IF(A122="","",IFERROR(INDEX('판매구성'!$B$2:$B$501,MATCH(A122,'판매구성'!$A$2:$A$501,0)),""))</f>
        <v/>
      </c>
      <c r="D122" s="2">
        <f>IF(C122="","",IFERROR(INDEX('SKU'!$B$2:$B$501,MATCH(C122,'SKU'!$A$2:$A$501,0)),""))</f>
        <v/>
      </c>
      <c r="F122" s="4">
        <f>IF(OR(C122="",E122=""),"",E122*N(IFERROR(INDEX('SKU'!$E$2:$E$501,MATCH(C122,'SKU'!$A$2:$A$501,0)),"")))</f>
        <v/>
      </c>
    </row>
    <row r="123">
      <c r="B123" s="2">
        <f>IF(A123="","",IFERROR(INDEX('판매구성'!$B$2:$B$501,MATCH(A123,'판매구성'!$A$2:$A$501,0)),""))</f>
        <v/>
      </c>
      <c r="D123" s="2">
        <f>IF(C123="","",IFERROR(INDEX('SKU'!$B$2:$B$501,MATCH(C123,'SKU'!$A$2:$A$501,0)),""))</f>
        <v/>
      </c>
      <c r="F123" s="4">
        <f>IF(OR(C123="",E123=""),"",E123*N(IFERROR(INDEX('SKU'!$E$2:$E$501,MATCH(C123,'SKU'!$A$2:$A$501,0)),"")))</f>
        <v/>
      </c>
    </row>
    <row r="124">
      <c r="B124" s="2">
        <f>IF(A124="","",IFERROR(INDEX('판매구성'!$B$2:$B$501,MATCH(A124,'판매구성'!$A$2:$A$501,0)),""))</f>
        <v/>
      </c>
      <c r="D124" s="2">
        <f>IF(C124="","",IFERROR(INDEX('SKU'!$B$2:$B$501,MATCH(C124,'SKU'!$A$2:$A$501,0)),""))</f>
        <v/>
      </c>
      <c r="F124" s="4">
        <f>IF(OR(C124="",E124=""),"",E124*N(IFERROR(INDEX('SKU'!$E$2:$E$501,MATCH(C124,'SKU'!$A$2:$A$501,0)),"")))</f>
        <v/>
      </c>
    </row>
    <row r="125">
      <c r="B125" s="2">
        <f>IF(A125="","",IFERROR(INDEX('판매구성'!$B$2:$B$501,MATCH(A125,'판매구성'!$A$2:$A$501,0)),""))</f>
        <v/>
      </c>
      <c r="D125" s="2">
        <f>IF(C125="","",IFERROR(INDEX('SKU'!$B$2:$B$501,MATCH(C125,'SKU'!$A$2:$A$501,0)),""))</f>
        <v/>
      </c>
      <c r="F125" s="4">
        <f>IF(OR(C125="",E125=""),"",E125*N(IFERROR(INDEX('SKU'!$E$2:$E$501,MATCH(C125,'SKU'!$A$2:$A$501,0)),"")))</f>
        <v/>
      </c>
    </row>
    <row r="126">
      <c r="B126" s="2">
        <f>IF(A126="","",IFERROR(INDEX('판매구성'!$B$2:$B$501,MATCH(A126,'판매구성'!$A$2:$A$501,0)),""))</f>
        <v/>
      </c>
      <c r="D126" s="2">
        <f>IF(C126="","",IFERROR(INDEX('SKU'!$B$2:$B$501,MATCH(C126,'SKU'!$A$2:$A$501,0)),""))</f>
        <v/>
      </c>
      <c r="F126" s="4">
        <f>IF(OR(C126="",E126=""),"",E126*N(IFERROR(INDEX('SKU'!$E$2:$E$501,MATCH(C126,'SKU'!$A$2:$A$501,0)),"")))</f>
        <v/>
      </c>
    </row>
    <row r="127">
      <c r="B127" s="2">
        <f>IF(A127="","",IFERROR(INDEX('판매구성'!$B$2:$B$501,MATCH(A127,'판매구성'!$A$2:$A$501,0)),""))</f>
        <v/>
      </c>
      <c r="D127" s="2">
        <f>IF(C127="","",IFERROR(INDEX('SKU'!$B$2:$B$501,MATCH(C127,'SKU'!$A$2:$A$501,0)),""))</f>
        <v/>
      </c>
      <c r="F127" s="4">
        <f>IF(OR(C127="",E127=""),"",E127*N(IFERROR(INDEX('SKU'!$E$2:$E$501,MATCH(C127,'SKU'!$A$2:$A$501,0)),"")))</f>
        <v/>
      </c>
    </row>
    <row r="128">
      <c r="B128" s="2">
        <f>IF(A128="","",IFERROR(INDEX('판매구성'!$B$2:$B$501,MATCH(A128,'판매구성'!$A$2:$A$501,0)),""))</f>
        <v/>
      </c>
      <c r="D128" s="2">
        <f>IF(C128="","",IFERROR(INDEX('SKU'!$B$2:$B$501,MATCH(C128,'SKU'!$A$2:$A$501,0)),""))</f>
        <v/>
      </c>
      <c r="F128" s="4">
        <f>IF(OR(C128="",E128=""),"",E128*N(IFERROR(INDEX('SKU'!$E$2:$E$501,MATCH(C128,'SKU'!$A$2:$A$501,0)),"")))</f>
        <v/>
      </c>
    </row>
    <row r="129">
      <c r="B129" s="2">
        <f>IF(A129="","",IFERROR(INDEX('판매구성'!$B$2:$B$501,MATCH(A129,'판매구성'!$A$2:$A$501,0)),""))</f>
        <v/>
      </c>
      <c r="D129" s="2">
        <f>IF(C129="","",IFERROR(INDEX('SKU'!$B$2:$B$501,MATCH(C129,'SKU'!$A$2:$A$501,0)),""))</f>
        <v/>
      </c>
      <c r="F129" s="4">
        <f>IF(OR(C129="",E129=""),"",E129*N(IFERROR(INDEX('SKU'!$E$2:$E$501,MATCH(C129,'SKU'!$A$2:$A$501,0)),"")))</f>
        <v/>
      </c>
    </row>
    <row r="130">
      <c r="B130" s="2">
        <f>IF(A130="","",IFERROR(INDEX('판매구성'!$B$2:$B$501,MATCH(A130,'판매구성'!$A$2:$A$501,0)),""))</f>
        <v/>
      </c>
      <c r="D130" s="2">
        <f>IF(C130="","",IFERROR(INDEX('SKU'!$B$2:$B$501,MATCH(C130,'SKU'!$A$2:$A$501,0)),""))</f>
        <v/>
      </c>
      <c r="F130" s="4">
        <f>IF(OR(C130="",E130=""),"",E130*N(IFERROR(INDEX('SKU'!$E$2:$E$501,MATCH(C130,'SKU'!$A$2:$A$501,0)),"")))</f>
        <v/>
      </c>
    </row>
    <row r="131">
      <c r="B131" s="2">
        <f>IF(A131="","",IFERROR(INDEX('판매구성'!$B$2:$B$501,MATCH(A131,'판매구성'!$A$2:$A$501,0)),""))</f>
        <v/>
      </c>
      <c r="D131" s="2">
        <f>IF(C131="","",IFERROR(INDEX('SKU'!$B$2:$B$501,MATCH(C131,'SKU'!$A$2:$A$501,0)),""))</f>
        <v/>
      </c>
      <c r="F131" s="4">
        <f>IF(OR(C131="",E131=""),"",E131*N(IFERROR(INDEX('SKU'!$E$2:$E$501,MATCH(C131,'SKU'!$A$2:$A$501,0)),"")))</f>
        <v/>
      </c>
    </row>
    <row r="132">
      <c r="B132" s="2">
        <f>IF(A132="","",IFERROR(INDEX('판매구성'!$B$2:$B$501,MATCH(A132,'판매구성'!$A$2:$A$501,0)),""))</f>
        <v/>
      </c>
      <c r="D132" s="2">
        <f>IF(C132="","",IFERROR(INDEX('SKU'!$B$2:$B$501,MATCH(C132,'SKU'!$A$2:$A$501,0)),""))</f>
        <v/>
      </c>
      <c r="F132" s="4">
        <f>IF(OR(C132="",E132=""),"",E132*N(IFERROR(INDEX('SKU'!$E$2:$E$501,MATCH(C132,'SKU'!$A$2:$A$501,0)),"")))</f>
        <v/>
      </c>
    </row>
    <row r="133">
      <c r="B133" s="2">
        <f>IF(A133="","",IFERROR(INDEX('판매구성'!$B$2:$B$501,MATCH(A133,'판매구성'!$A$2:$A$501,0)),""))</f>
        <v/>
      </c>
      <c r="D133" s="2">
        <f>IF(C133="","",IFERROR(INDEX('SKU'!$B$2:$B$501,MATCH(C133,'SKU'!$A$2:$A$501,0)),""))</f>
        <v/>
      </c>
      <c r="F133" s="4">
        <f>IF(OR(C133="",E133=""),"",E133*N(IFERROR(INDEX('SKU'!$E$2:$E$501,MATCH(C133,'SKU'!$A$2:$A$501,0)),"")))</f>
        <v/>
      </c>
    </row>
    <row r="134">
      <c r="B134" s="2">
        <f>IF(A134="","",IFERROR(INDEX('판매구성'!$B$2:$B$501,MATCH(A134,'판매구성'!$A$2:$A$501,0)),""))</f>
        <v/>
      </c>
      <c r="D134" s="2">
        <f>IF(C134="","",IFERROR(INDEX('SKU'!$B$2:$B$501,MATCH(C134,'SKU'!$A$2:$A$501,0)),""))</f>
        <v/>
      </c>
      <c r="F134" s="4">
        <f>IF(OR(C134="",E134=""),"",E134*N(IFERROR(INDEX('SKU'!$E$2:$E$501,MATCH(C134,'SKU'!$A$2:$A$501,0)),"")))</f>
        <v/>
      </c>
    </row>
    <row r="135">
      <c r="B135" s="2">
        <f>IF(A135="","",IFERROR(INDEX('판매구성'!$B$2:$B$501,MATCH(A135,'판매구성'!$A$2:$A$501,0)),""))</f>
        <v/>
      </c>
      <c r="D135" s="2">
        <f>IF(C135="","",IFERROR(INDEX('SKU'!$B$2:$B$501,MATCH(C135,'SKU'!$A$2:$A$501,0)),""))</f>
        <v/>
      </c>
      <c r="F135" s="4">
        <f>IF(OR(C135="",E135=""),"",E135*N(IFERROR(INDEX('SKU'!$E$2:$E$501,MATCH(C135,'SKU'!$A$2:$A$501,0)),"")))</f>
        <v/>
      </c>
    </row>
    <row r="136">
      <c r="B136" s="2">
        <f>IF(A136="","",IFERROR(INDEX('판매구성'!$B$2:$B$501,MATCH(A136,'판매구성'!$A$2:$A$501,0)),""))</f>
        <v/>
      </c>
      <c r="D136" s="2">
        <f>IF(C136="","",IFERROR(INDEX('SKU'!$B$2:$B$501,MATCH(C136,'SKU'!$A$2:$A$501,0)),""))</f>
        <v/>
      </c>
      <c r="F136" s="4">
        <f>IF(OR(C136="",E136=""),"",E136*N(IFERROR(INDEX('SKU'!$E$2:$E$501,MATCH(C136,'SKU'!$A$2:$A$501,0)),"")))</f>
        <v/>
      </c>
    </row>
    <row r="137">
      <c r="B137" s="2">
        <f>IF(A137="","",IFERROR(INDEX('판매구성'!$B$2:$B$501,MATCH(A137,'판매구성'!$A$2:$A$501,0)),""))</f>
        <v/>
      </c>
      <c r="D137" s="2">
        <f>IF(C137="","",IFERROR(INDEX('SKU'!$B$2:$B$501,MATCH(C137,'SKU'!$A$2:$A$501,0)),""))</f>
        <v/>
      </c>
      <c r="F137" s="4">
        <f>IF(OR(C137="",E137=""),"",E137*N(IFERROR(INDEX('SKU'!$E$2:$E$501,MATCH(C137,'SKU'!$A$2:$A$501,0)),"")))</f>
        <v/>
      </c>
    </row>
    <row r="138">
      <c r="B138" s="2">
        <f>IF(A138="","",IFERROR(INDEX('판매구성'!$B$2:$B$501,MATCH(A138,'판매구성'!$A$2:$A$501,0)),""))</f>
        <v/>
      </c>
      <c r="D138" s="2">
        <f>IF(C138="","",IFERROR(INDEX('SKU'!$B$2:$B$501,MATCH(C138,'SKU'!$A$2:$A$501,0)),""))</f>
        <v/>
      </c>
      <c r="F138" s="4">
        <f>IF(OR(C138="",E138=""),"",E138*N(IFERROR(INDEX('SKU'!$E$2:$E$501,MATCH(C138,'SKU'!$A$2:$A$501,0)),"")))</f>
        <v/>
      </c>
    </row>
    <row r="139">
      <c r="B139" s="2">
        <f>IF(A139="","",IFERROR(INDEX('판매구성'!$B$2:$B$501,MATCH(A139,'판매구성'!$A$2:$A$501,0)),""))</f>
        <v/>
      </c>
      <c r="D139" s="2">
        <f>IF(C139="","",IFERROR(INDEX('SKU'!$B$2:$B$501,MATCH(C139,'SKU'!$A$2:$A$501,0)),""))</f>
        <v/>
      </c>
      <c r="F139" s="4">
        <f>IF(OR(C139="",E139=""),"",E139*N(IFERROR(INDEX('SKU'!$E$2:$E$501,MATCH(C139,'SKU'!$A$2:$A$501,0)),"")))</f>
        <v/>
      </c>
    </row>
    <row r="140">
      <c r="B140" s="2">
        <f>IF(A140="","",IFERROR(INDEX('판매구성'!$B$2:$B$501,MATCH(A140,'판매구성'!$A$2:$A$501,0)),""))</f>
        <v/>
      </c>
      <c r="D140" s="2">
        <f>IF(C140="","",IFERROR(INDEX('SKU'!$B$2:$B$501,MATCH(C140,'SKU'!$A$2:$A$501,0)),""))</f>
        <v/>
      </c>
      <c r="F140" s="4">
        <f>IF(OR(C140="",E140=""),"",E140*N(IFERROR(INDEX('SKU'!$E$2:$E$501,MATCH(C140,'SKU'!$A$2:$A$501,0)),"")))</f>
        <v/>
      </c>
    </row>
    <row r="141">
      <c r="B141" s="2">
        <f>IF(A141="","",IFERROR(INDEX('판매구성'!$B$2:$B$501,MATCH(A141,'판매구성'!$A$2:$A$501,0)),""))</f>
        <v/>
      </c>
      <c r="D141" s="2">
        <f>IF(C141="","",IFERROR(INDEX('SKU'!$B$2:$B$501,MATCH(C141,'SKU'!$A$2:$A$501,0)),""))</f>
        <v/>
      </c>
      <c r="F141" s="4">
        <f>IF(OR(C141="",E141=""),"",E141*N(IFERROR(INDEX('SKU'!$E$2:$E$501,MATCH(C141,'SKU'!$A$2:$A$501,0)),"")))</f>
        <v/>
      </c>
    </row>
    <row r="142">
      <c r="B142" s="2">
        <f>IF(A142="","",IFERROR(INDEX('판매구성'!$B$2:$B$501,MATCH(A142,'판매구성'!$A$2:$A$501,0)),""))</f>
        <v/>
      </c>
      <c r="D142" s="2">
        <f>IF(C142="","",IFERROR(INDEX('SKU'!$B$2:$B$501,MATCH(C142,'SKU'!$A$2:$A$501,0)),""))</f>
        <v/>
      </c>
      <c r="F142" s="4">
        <f>IF(OR(C142="",E142=""),"",E142*N(IFERROR(INDEX('SKU'!$E$2:$E$501,MATCH(C142,'SKU'!$A$2:$A$501,0)),"")))</f>
        <v/>
      </c>
    </row>
    <row r="143">
      <c r="B143" s="2">
        <f>IF(A143="","",IFERROR(INDEX('판매구성'!$B$2:$B$501,MATCH(A143,'판매구성'!$A$2:$A$501,0)),""))</f>
        <v/>
      </c>
      <c r="D143" s="2">
        <f>IF(C143="","",IFERROR(INDEX('SKU'!$B$2:$B$501,MATCH(C143,'SKU'!$A$2:$A$501,0)),""))</f>
        <v/>
      </c>
      <c r="F143" s="4">
        <f>IF(OR(C143="",E143=""),"",E143*N(IFERROR(INDEX('SKU'!$E$2:$E$501,MATCH(C143,'SKU'!$A$2:$A$501,0)),"")))</f>
        <v/>
      </c>
    </row>
    <row r="144">
      <c r="B144" s="2">
        <f>IF(A144="","",IFERROR(INDEX('판매구성'!$B$2:$B$501,MATCH(A144,'판매구성'!$A$2:$A$501,0)),""))</f>
        <v/>
      </c>
      <c r="D144" s="2">
        <f>IF(C144="","",IFERROR(INDEX('SKU'!$B$2:$B$501,MATCH(C144,'SKU'!$A$2:$A$501,0)),""))</f>
        <v/>
      </c>
      <c r="F144" s="4">
        <f>IF(OR(C144="",E144=""),"",E144*N(IFERROR(INDEX('SKU'!$E$2:$E$501,MATCH(C144,'SKU'!$A$2:$A$501,0)),"")))</f>
        <v/>
      </c>
    </row>
    <row r="145">
      <c r="B145" s="2">
        <f>IF(A145="","",IFERROR(INDEX('판매구성'!$B$2:$B$501,MATCH(A145,'판매구성'!$A$2:$A$501,0)),""))</f>
        <v/>
      </c>
      <c r="D145" s="2">
        <f>IF(C145="","",IFERROR(INDEX('SKU'!$B$2:$B$501,MATCH(C145,'SKU'!$A$2:$A$501,0)),""))</f>
        <v/>
      </c>
      <c r="F145" s="4">
        <f>IF(OR(C145="",E145=""),"",E145*N(IFERROR(INDEX('SKU'!$E$2:$E$501,MATCH(C145,'SKU'!$A$2:$A$501,0)),"")))</f>
        <v/>
      </c>
    </row>
    <row r="146">
      <c r="B146" s="2">
        <f>IF(A146="","",IFERROR(INDEX('판매구성'!$B$2:$B$501,MATCH(A146,'판매구성'!$A$2:$A$501,0)),""))</f>
        <v/>
      </c>
      <c r="D146" s="2">
        <f>IF(C146="","",IFERROR(INDEX('SKU'!$B$2:$B$501,MATCH(C146,'SKU'!$A$2:$A$501,0)),""))</f>
        <v/>
      </c>
      <c r="F146" s="4">
        <f>IF(OR(C146="",E146=""),"",E146*N(IFERROR(INDEX('SKU'!$E$2:$E$501,MATCH(C146,'SKU'!$A$2:$A$501,0)),"")))</f>
        <v/>
      </c>
    </row>
    <row r="147">
      <c r="B147" s="2">
        <f>IF(A147="","",IFERROR(INDEX('판매구성'!$B$2:$B$501,MATCH(A147,'판매구성'!$A$2:$A$501,0)),""))</f>
        <v/>
      </c>
      <c r="D147" s="2">
        <f>IF(C147="","",IFERROR(INDEX('SKU'!$B$2:$B$501,MATCH(C147,'SKU'!$A$2:$A$501,0)),""))</f>
        <v/>
      </c>
      <c r="F147" s="4">
        <f>IF(OR(C147="",E147=""),"",E147*N(IFERROR(INDEX('SKU'!$E$2:$E$501,MATCH(C147,'SKU'!$A$2:$A$501,0)),"")))</f>
        <v/>
      </c>
    </row>
    <row r="148">
      <c r="B148" s="2">
        <f>IF(A148="","",IFERROR(INDEX('판매구성'!$B$2:$B$501,MATCH(A148,'판매구성'!$A$2:$A$501,0)),""))</f>
        <v/>
      </c>
      <c r="D148" s="2">
        <f>IF(C148="","",IFERROR(INDEX('SKU'!$B$2:$B$501,MATCH(C148,'SKU'!$A$2:$A$501,0)),""))</f>
        <v/>
      </c>
      <c r="F148" s="4">
        <f>IF(OR(C148="",E148=""),"",E148*N(IFERROR(INDEX('SKU'!$E$2:$E$501,MATCH(C148,'SKU'!$A$2:$A$501,0)),"")))</f>
        <v/>
      </c>
    </row>
    <row r="149">
      <c r="B149" s="2">
        <f>IF(A149="","",IFERROR(INDEX('판매구성'!$B$2:$B$501,MATCH(A149,'판매구성'!$A$2:$A$501,0)),""))</f>
        <v/>
      </c>
      <c r="D149" s="2">
        <f>IF(C149="","",IFERROR(INDEX('SKU'!$B$2:$B$501,MATCH(C149,'SKU'!$A$2:$A$501,0)),""))</f>
        <v/>
      </c>
      <c r="F149" s="4">
        <f>IF(OR(C149="",E149=""),"",E149*N(IFERROR(INDEX('SKU'!$E$2:$E$501,MATCH(C149,'SKU'!$A$2:$A$501,0)),"")))</f>
        <v/>
      </c>
    </row>
    <row r="150">
      <c r="B150" s="2">
        <f>IF(A150="","",IFERROR(INDEX('판매구성'!$B$2:$B$501,MATCH(A150,'판매구성'!$A$2:$A$501,0)),""))</f>
        <v/>
      </c>
      <c r="D150" s="2">
        <f>IF(C150="","",IFERROR(INDEX('SKU'!$B$2:$B$501,MATCH(C150,'SKU'!$A$2:$A$501,0)),""))</f>
        <v/>
      </c>
      <c r="F150" s="4">
        <f>IF(OR(C150="",E150=""),"",E150*N(IFERROR(INDEX('SKU'!$E$2:$E$501,MATCH(C150,'SKU'!$A$2:$A$501,0)),"")))</f>
        <v/>
      </c>
    </row>
    <row r="151">
      <c r="B151" s="2">
        <f>IF(A151="","",IFERROR(INDEX('판매구성'!$B$2:$B$501,MATCH(A151,'판매구성'!$A$2:$A$501,0)),""))</f>
        <v/>
      </c>
      <c r="D151" s="2">
        <f>IF(C151="","",IFERROR(INDEX('SKU'!$B$2:$B$501,MATCH(C151,'SKU'!$A$2:$A$501,0)),""))</f>
        <v/>
      </c>
      <c r="F151" s="4">
        <f>IF(OR(C151="",E151=""),"",E151*N(IFERROR(INDEX('SKU'!$E$2:$E$501,MATCH(C151,'SKU'!$A$2:$A$501,0)),"")))</f>
        <v/>
      </c>
    </row>
    <row r="152">
      <c r="B152" s="2">
        <f>IF(A152="","",IFERROR(INDEX('판매구성'!$B$2:$B$501,MATCH(A152,'판매구성'!$A$2:$A$501,0)),""))</f>
        <v/>
      </c>
      <c r="D152" s="2">
        <f>IF(C152="","",IFERROR(INDEX('SKU'!$B$2:$B$501,MATCH(C152,'SKU'!$A$2:$A$501,0)),""))</f>
        <v/>
      </c>
      <c r="F152" s="4">
        <f>IF(OR(C152="",E152=""),"",E152*N(IFERROR(INDEX('SKU'!$E$2:$E$501,MATCH(C152,'SKU'!$A$2:$A$501,0)),"")))</f>
        <v/>
      </c>
    </row>
    <row r="153">
      <c r="B153" s="2">
        <f>IF(A153="","",IFERROR(INDEX('판매구성'!$B$2:$B$501,MATCH(A153,'판매구성'!$A$2:$A$501,0)),""))</f>
        <v/>
      </c>
      <c r="D153" s="2">
        <f>IF(C153="","",IFERROR(INDEX('SKU'!$B$2:$B$501,MATCH(C153,'SKU'!$A$2:$A$501,0)),""))</f>
        <v/>
      </c>
      <c r="F153" s="4">
        <f>IF(OR(C153="",E153=""),"",E153*N(IFERROR(INDEX('SKU'!$E$2:$E$501,MATCH(C153,'SKU'!$A$2:$A$501,0)),"")))</f>
        <v/>
      </c>
    </row>
    <row r="154">
      <c r="B154" s="2">
        <f>IF(A154="","",IFERROR(INDEX('판매구성'!$B$2:$B$501,MATCH(A154,'판매구성'!$A$2:$A$501,0)),""))</f>
        <v/>
      </c>
      <c r="D154" s="2">
        <f>IF(C154="","",IFERROR(INDEX('SKU'!$B$2:$B$501,MATCH(C154,'SKU'!$A$2:$A$501,0)),""))</f>
        <v/>
      </c>
      <c r="F154" s="4">
        <f>IF(OR(C154="",E154=""),"",E154*N(IFERROR(INDEX('SKU'!$E$2:$E$501,MATCH(C154,'SKU'!$A$2:$A$501,0)),"")))</f>
        <v/>
      </c>
    </row>
    <row r="155">
      <c r="B155" s="2">
        <f>IF(A155="","",IFERROR(INDEX('판매구성'!$B$2:$B$501,MATCH(A155,'판매구성'!$A$2:$A$501,0)),""))</f>
        <v/>
      </c>
      <c r="D155" s="2">
        <f>IF(C155="","",IFERROR(INDEX('SKU'!$B$2:$B$501,MATCH(C155,'SKU'!$A$2:$A$501,0)),""))</f>
        <v/>
      </c>
      <c r="F155" s="4">
        <f>IF(OR(C155="",E155=""),"",E155*N(IFERROR(INDEX('SKU'!$E$2:$E$501,MATCH(C155,'SKU'!$A$2:$A$501,0)),"")))</f>
        <v/>
      </c>
    </row>
    <row r="156">
      <c r="B156" s="2">
        <f>IF(A156="","",IFERROR(INDEX('판매구성'!$B$2:$B$501,MATCH(A156,'판매구성'!$A$2:$A$501,0)),""))</f>
        <v/>
      </c>
      <c r="D156" s="2">
        <f>IF(C156="","",IFERROR(INDEX('SKU'!$B$2:$B$501,MATCH(C156,'SKU'!$A$2:$A$501,0)),""))</f>
        <v/>
      </c>
      <c r="F156" s="4">
        <f>IF(OR(C156="",E156=""),"",E156*N(IFERROR(INDEX('SKU'!$E$2:$E$501,MATCH(C156,'SKU'!$A$2:$A$501,0)),"")))</f>
        <v/>
      </c>
    </row>
    <row r="157">
      <c r="B157" s="2">
        <f>IF(A157="","",IFERROR(INDEX('판매구성'!$B$2:$B$501,MATCH(A157,'판매구성'!$A$2:$A$501,0)),""))</f>
        <v/>
      </c>
      <c r="D157" s="2">
        <f>IF(C157="","",IFERROR(INDEX('SKU'!$B$2:$B$501,MATCH(C157,'SKU'!$A$2:$A$501,0)),""))</f>
        <v/>
      </c>
      <c r="F157" s="4">
        <f>IF(OR(C157="",E157=""),"",E157*N(IFERROR(INDEX('SKU'!$E$2:$E$501,MATCH(C157,'SKU'!$A$2:$A$501,0)),"")))</f>
        <v/>
      </c>
    </row>
    <row r="158">
      <c r="B158" s="2">
        <f>IF(A158="","",IFERROR(INDEX('판매구성'!$B$2:$B$501,MATCH(A158,'판매구성'!$A$2:$A$501,0)),""))</f>
        <v/>
      </c>
      <c r="D158" s="2">
        <f>IF(C158="","",IFERROR(INDEX('SKU'!$B$2:$B$501,MATCH(C158,'SKU'!$A$2:$A$501,0)),""))</f>
        <v/>
      </c>
      <c r="F158" s="4">
        <f>IF(OR(C158="",E158=""),"",E158*N(IFERROR(INDEX('SKU'!$E$2:$E$501,MATCH(C158,'SKU'!$A$2:$A$501,0)),"")))</f>
        <v/>
      </c>
    </row>
    <row r="159">
      <c r="B159" s="2">
        <f>IF(A159="","",IFERROR(INDEX('판매구성'!$B$2:$B$501,MATCH(A159,'판매구성'!$A$2:$A$501,0)),""))</f>
        <v/>
      </c>
      <c r="D159" s="2">
        <f>IF(C159="","",IFERROR(INDEX('SKU'!$B$2:$B$501,MATCH(C159,'SKU'!$A$2:$A$501,0)),""))</f>
        <v/>
      </c>
      <c r="F159" s="4">
        <f>IF(OR(C159="",E159=""),"",E159*N(IFERROR(INDEX('SKU'!$E$2:$E$501,MATCH(C159,'SKU'!$A$2:$A$501,0)),"")))</f>
        <v/>
      </c>
    </row>
    <row r="160">
      <c r="B160" s="2">
        <f>IF(A160="","",IFERROR(INDEX('판매구성'!$B$2:$B$501,MATCH(A160,'판매구성'!$A$2:$A$501,0)),""))</f>
        <v/>
      </c>
      <c r="D160" s="2">
        <f>IF(C160="","",IFERROR(INDEX('SKU'!$B$2:$B$501,MATCH(C160,'SKU'!$A$2:$A$501,0)),""))</f>
        <v/>
      </c>
      <c r="F160" s="4">
        <f>IF(OR(C160="",E160=""),"",E160*N(IFERROR(INDEX('SKU'!$E$2:$E$501,MATCH(C160,'SKU'!$A$2:$A$501,0)),"")))</f>
        <v/>
      </c>
    </row>
    <row r="161">
      <c r="B161" s="2">
        <f>IF(A161="","",IFERROR(INDEX('판매구성'!$B$2:$B$501,MATCH(A161,'판매구성'!$A$2:$A$501,0)),""))</f>
        <v/>
      </c>
      <c r="D161" s="2">
        <f>IF(C161="","",IFERROR(INDEX('SKU'!$B$2:$B$501,MATCH(C161,'SKU'!$A$2:$A$501,0)),""))</f>
        <v/>
      </c>
      <c r="F161" s="4">
        <f>IF(OR(C161="",E161=""),"",E161*N(IFERROR(INDEX('SKU'!$E$2:$E$501,MATCH(C161,'SKU'!$A$2:$A$501,0)),"")))</f>
        <v/>
      </c>
    </row>
    <row r="162">
      <c r="B162" s="2">
        <f>IF(A162="","",IFERROR(INDEX('판매구성'!$B$2:$B$501,MATCH(A162,'판매구성'!$A$2:$A$501,0)),""))</f>
        <v/>
      </c>
      <c r="D162" s="2">
        <f>IF(C162="","",IFERROR(INDEX('SKU'!$B$2:$B$501,MATCH(C162,'SKU'!$A$2:$A$501,0)),""))</f>
        <v/>
      </c>
      <c r="F162" s="4">
        <f>IF(OR(C162="",E162=""),"",E162*N(IFERROR(INDEX('SKU'!$E$2:$E$501,MATCH(C162,'SKU'!$A$2:$A$501,0)),"")))</f>
        <v/>
      </c>
    </row>
    <row r="163">
      <c r="B163" s="2">
        <f>IF(A163="","",IFERROR(INDEX('판매구성'!$B$2:$B$501,MATCH(A163,'판매구성'!$A$2:$A$501,0)),""))</f>
        <v/>
      </c>
      <c r="D163" s="2">
        <f>IF(C163="","",IFERROR(INDEX('SKU'!$B$2:$B$501,MATCH(C163,'SKU'!$A$2:$A$501,0)),""))</f>
        <v/>
      </c>
      <c r="F163" s="4">
        <f>IF(OR(C163="",E163=""),"",E163*N(IFERROR(INDEX('SKU'!$E$2:$E$501,MATCH(C163,'SKU'!$A$2:$A$501,0)),"")))</f>
        <v/>
      </c>
    </row>
    <row r="164">
      <c r="B164" s="2">
        <f>IF(A164="","",IFERROR(INDEX('판매구성'!$B$2:$B$501,MATCH(A164,'판매구성'!$A$2:$A$501,0)),""))</f>
        <v/>
      </c>
      <c r="D164" s="2">
        <f>IF(C164="","",IFERROR(INDEX('SKU'!$B$2:$B$501,MATCH(C164,'SKU'!$A$2:$A$501,0)),""))</f>
        <v/>
      </c>
      <c r="F164" s="4">
        <f>IF(OR(C164="",E164=""),"",E164*N(IFERROR(INDEX('SKU'!$E$2:$E$501,MATCH(C164,'SKU'!$A$2:$A$501,0)),"")))</f>
        <v/>
      </c>
    </row>
    <row r="165">
      <c r="B165" s="2">
        <f>IF(A165="","",IFERROR(INDEX('판매구성'!$B$2:$B$501,MATCH(A165,'판매구성'!$A$2:$A$501,0)),""))</f>
        <v/>
      </c>
      <c r="D165" s="2">
        <f>IF(C165="","",IFERROR(INDEX('SKU'!$B$2:$B$501,MATCH(C165,'SKU'!$A$2:$A$501,0)),""))</f>
        <v/>
      </c>
      <c r="F165" s="4">
        <f>IF(OR(C165="",E165=""),"",E165*N(IFERROR(INDEX('SKU'!$E$2:$E$501,MATCH(C165,'SKU'!$A$2:$A$501,0)),"")))</f>
        <v/>
      </c>
    </row>
    <row r="166">
      <c r="B166" s="2">
        <f>IF(A166="","",IFERROR(INDEX('판매구성'!$B$2:$B$501,MATCH(A166,'판매구성'!$A$2:$A$501,0)),""))</f>
        <v/>
      </c>
      <c r="D166" s="2">
        <f>IF(C166="","",IFERROR(INDEX('SKU'!$B$2:$B$501,MATCH(C166,'SKU'!$A$2:$A$501,0)),""))</f>
        <v/>
      </c>
      <c r="F166" s="4">
        <f>IF(OR(C166="",E166=""),"",E166*N(IFERROR(INDEX('SKU'!$E$2:$E$501,MATCH(C166,'SKU'!$A$2:$A$501,0)),"")))</f>
        <v/>
      </c>
    </row>
    <row r="167">
      <c r="B167" s="2">
        <f>IF(A167="","",IFERROR(INDEX('판매구성'!$B$2:$B$501,MATCH(A167,'판매구성'!$A$2:$A$501,0)),""))</f>
        <v/>
      </c>
      <c r="D167" s="2">
        <f>IF(C167="","",IFERROR(INDEX('SKU'!$B$2:$B$501,MATCH(C167,'SKU'!$A$2:$A$501,0)),""))</f>
        <v/>
      </c>
      <c r="F167" s="4">
        <f>IF(OR(C167="",E167=""),"",E167*N(IFERROR(INDEX('SKU'!$E$2:$E$501,MATCH(C167,'SKU'!$A$2:$A$501,0)),"")))</f>
        <v/>
      </c>
    </row>
    <row r="168">
      <c r="B168" s="2">
        <f>IF(A168="","",IFERROR(INDEX('판매구성'!$B$2:$B$501,MATCH(A168,'판매구성'!$A$2:$A$501,0)),""))</f>
        <v/>
      </c>
      <c r="D168" s="2">
        <f>IF(C168="","",IFERROR(INDEX('SKU'!$B$2:$B$501,MATCH(C168,'SKU'!$A$2:$A$501,0)),""))</f>
        <v/>
      </c>
      <c r="F168" s="4">
        <f>IF(OR(C168="",E168=""),"",E168*N(IFERROR(INDEX('SKU'!$E$2:$E$501,MATCH(C168,'SKU'!$A$2:$A$501,0)),"")))</f>
        <v/>
      </c>
    </row>
    <row r="169">
      <c r="B169" s="2">
        <f>IF(A169="","",IFERROR(INDEX('판매구성'!$B$2:$B$501,MATCH(A169,'판매구성'!$A$2:$A$501,0)),""))</f>
        <v/>
      </c>
      <c r="D169" s="2">
        <f>IF(C169="","",IFERROR(INDEX('SKU'!$B$2:$B$501,MATCH(C169,'SKU'!$A$2:$A$501,0)),""))</f>
        <v/>
      </c>
      <c r="F169" s="4">
        <f>IF(OR(C169="",E169=""),"",E169*N(IFERROR(INDEX('SKU'!$E$2:$E$501,MATCH(C169,'SKU'!$A$2:$A$501,0)),"")))</f>
        <v/>
      </c>
    </row>
    <row r="170">
      <c r="B170" s="2">
        <f>IF(A170="","",IFERROR(INDEX('판매구성'!$B$2:$B$501,MATCH(A170,'판매구성'!$A$2:$A$501,0)),""))</f>
        <v/>
      </c>
      <c r="D170" s="2">
        <f>IF(C170="","",IFERROR(INDEX('SKU'!$B$2:$B$501,MATCH(C170,'SKU'!$A$2:$A$501,0)),""))</f>
        <v/>
      </c>
      <c r="F170" s="4">
        <f>IF(OR(C170="",E170=""),"",E170*N(IFERROR(INDEX('SKU'!$E$2:$E$501,MATCH(C170,'SKU'!$A$2:$A$501,0)),"")))</f>
        <v/>
      </c>
    </row>
    <row r="171">
      <c r="B171" s="2">
        <f>IF(A171="","",IFERROR(INDEX('판매구성'!$B$2:$B$501,MATCH(A171,'판매구성'!$A$2:$A$501,0)),""))</f>
        <v/>
      </c>
      <c r="D171" s="2">
        <f>IF(C171="","",IFERROR(INDEX('SKU'!$B$2:$B$501,MATCH(C171,'SKU'!$A$2:$A$501,0)),""))</f>
        <v/>
      </c>
      <c r="F171" s="4">
        <f>IF(OR(C171="",E171=""),"",E171*N(IFERROR(INDEX('SKU'!$E$2:$E$501,MATCH(C171,'SKU'!$A$2:$A$501,0)),"")))</f>
        <v/>
      </c>
    </row>
    <row r="172">
      <c r="B172" s="2">
        <f>IF(A172="","",IFERROR(INDEX('판매구성'!$B$2:$B$501,MATCH(A172,'판매구성'!$A$2:$A$501,0)),""))</f>
        <v/>
      </c>
      <c r="D172" s="2">
        <f>IF(C172="","",IFERROR(INDEX('SKU'!$B$2:$B$501,MATCH(C172,'SKU'!$A$2:$A$501,0)),""))</f>
        <v/>
      </c>
      <c r="F172" s="4">
        <f>IF(OR(C172="",E172=""),"",E172*N(IFERROR(INDEX('SKU'!$E$2:$E$501,MATCH(C172,'SKU'!$A$2:$A$501,0)),"")))</f>
        <v/>
      </c>
    </row>
    <row r="173">
      <c r="B173" s="2">
        <f>IF(A173="","",IFERROR(INDEX('판매구성'!$B$2:$B$501,MATCH(A173,'판매구성'!$A$2:$A$501,0)),""))</f>
        <v/>
      </c>
      <c r="D173" s="2">
        <f>IF(C173="","",IFERROR(INDEX('SKU'!$B$2:$B$501,MATCH(C173,'SKU'!$A$2:$A$501,0)),""))</f>
        <v/>
      </c>
      <c r="F173" s="4">
        <f>IF(OR(C173="",E173=""),"",E173*N(IFERROR(INDEX('SKU'!$E$2:$E$501,MATCH(C173,'SKU'!$A$2:$A$501,0)),"")))</f>
        <v/>
      </c>
    </row>
    <row r="174">
      <c r="B174" s="2">
        <f>IF(A174="","",IFERROR(INDEX('판매구성'!$B$2:$B$501,MATCH(A174,'판매구성'!$A$2:$A$501,0)),""))</f>
        <v/>
      </c>
      <c r="D174" s="2">
        <f>IF(C174="","",IFERROR(INDEX('SKU'!$B$2:$B$501,MATCH(C174,'SKU'!$A$2:$A$501,0)),""))</f>
        <v/>
      </c>
      <c r="F174" s="4">
        <f>IF(OR(C174="",E174=""),"",E174*N(IFERROR(INDEX('SKU'!$E$2:$E$501,MATCH(C174,'SKU'!$A$2:$A$501,0)),"")))</f>
        <v/>
      </c>
    </row>
    <row r="175">
      <c r="B175" s="2">
        <f>IF(A175="","",IFERROR(INDEX('판매구성'!$B$2:$B$501,MATCH(A175,'판매구성'!$A$2:$A$501,0)),""))</f>
        <v/>
      </c>
      <c r="D175" s="2">
        <f>IF(C175="","",IFERROR(INDEX('SKU'!$B$2:$B$501,MATCH(C175,'SKU'!$A$2:$A$501,0)),""))</f>
        <v/>
      </c>
      <c r="F175" s="4">
        <f>IF(OR(C175="",E175=""),"",E175*N(IFERROR(INDEX('SKU'!$E$2:$E$501,MATCH(C175,'SKU'!$A$2:$A$501,0)),"")))</f>
        <v/>
      </c>
    </row>
    <row r="176">
      <c r="B176" s="2">
        <f>IF(A176="","",IFERROR(INDEX('판매구성'!$B$2:$B$501,MATCH(A176,'판매구성'!$A$2:$A$501,0)),""))</f>
        <v/>
      </c>
      <c r="D176" s="2">
        <f>IF(C176="","",IFERROR(INDEX('SKU'!$B$2:$B$501,MATCH(C176,'SKU'!$A$2:$A$501,0)),""))</f>
        <v/>
      </c>
      <c r="F176" s="4">
        <f>IF(OR(C176="",E176=""),"",E176*N(IFERROR(INDEX('SKU'!$E$2:$E$501,MATCH(C176,'SKU'!$A$2:$A$501,0)),"")))</f>
        <v/>
      </c>
    </row>
    <row r="177">
      <c r="B177" s="2">
        <f>IF(A177="","",IFERROR(INDEX('판매구성'!$B$2:$B$501,MATCH(A177,'판매구성'!$A$2:$A$501,0)),""))</f>
        <v/>
      </c>
      <c r="D177" s="2">
        <f>IF(C177="","",IFERROR(INDEX('SKU'!$B$2:$B$501,MATCH(C177,'SKU'!$A$2:$A$501,0)),""))</f>
        <v/>
      </c>
      <c r="F177" s="4">
        <f>IF(OR(C177="",E177=""),"",E177*N(IFERROR(INDEX('SKU'!$E$2:$E$501,MATCH(C177,'SKU'!$A$2:$A$501,0)),"")))</f>
        <v/>
      </c>
    </row>
    <row r="178">
      <c r="B178" s="2">
        <f>IF(A178="","",IFERROR(INDEX('판매구성'!$B$2:$B$501,MATCH(A178,'판매구성'!$A$2:$A$501,0)),""))</f>
        <v/>
      </c>
      <c r="D178" s="2">
        <f>IF(C178="","",IFERROR(INDEX('SKU'!$B$2:$B$501,MATCH(C178,'SKU'!$A$2:$A$501,0)),""))</f>
        <v/>
      </c>
      <c r="F178" s="4">
        <f>IF(OR(C178="",E178=""),"",E178*N(IFERROR(INDEX('SKU'!$E$2:$E$501,MATCH(C178,'SKU'!$A$2:$A$501,0)),"")))</f>
        <v/>
      </c>
    </row>
    <row r="179">
      <c r="B179" s="2">
        <f>IF(A179="","",IFERROR(INDEX('판매구성'!$B$2:$B$501,MATCH(A179,'판매구성'!$A$2:$A$501,0)),""))</f>
        <v/>
      </c>
      <c r="D179" s="2">
        <f>IF(C179="","",IFERROR(INDEX('SKU'!$B$2:$B$501,MATCH(C179,'SKU'!$A$2:$A$501,0)),""))</f>
        <v/>
      </c>
      <c r="F179" s="4">
        <f>IF(OR(C179="",E179=""),"",E179*N(IFERROR(INDEX('SKU'!$E$2:$E$501,MATCH(C179,'SKU'!$A$2:$A$501,0)),"")))</f>
        <v/>
      </c>
    </row>
    <row r="180">
      <c r="B180" s="2">
        <f>IF(A180="","",IFERROR(INDEX('판매구성'!$B$2:$B$501,MATCH(A180,'판매구성'!$A$2:$A$501,0)),""))</f>
        <v/>
      </c>
      <c r="D180" s="2">
        <f>IF(C180="","",IFERROR(INDEX('SKU'!$B$2:$B$501,MATCH(C180,'SKU'!$A$2:$A$501,0)),""))</f>
        <v/>
      </c>
      <c r="F180" s="4">
        <f>IF(OR(C180="",E180=""),"",E180*N(IFERROR(INDEX('SKU'!$E$2:$E$501,MATCH(C180,'SKU'!$A$2:$A$501,0)),"")))</f>
        <v/>
      </c>
    </row>
    <row r="181">
      <c r="B181" s="2">
        <f>IF(A181="","",IFERROR(INDEX('판매구성'!$B$2:$B$501,MATCH(A181,'판매구성'!$A$2:$A$501,0)),""))</f>
        <v/>
      </c>
      <c r="D181" s="2">
        <f>IF(C181="","",IFERROR(INDEX('SKU'!$B$2:$B$501,MATCH(C181,'SKU'!$A$2:$A$501,0)),""))</f>
        <v/>
      </c>
      <c r="F181" s="4">
        <f>IF(OR(C181="",E181=""),"",E181*N(IFERROR(INDEX('SKU'!$E$2:$E$501,MATCH(C181,'SKU'!$A$2:$A$501,0)),"")))</f>
        <v/>
      </c>
    </row>
    <row r="182">
      <c r="B182" s="2">
        <f>IF(A182="","",IFERROR(INDEX('판매구성'!$B$2:$B$501,MATCH(A182,'판매구성'!$A$2:$A$501,0)),""))</f>
        <v/>
      </c>
      <c r="D182" s="2">
        <f>IF(C182="","",IFERROR(INDEX('SKU'!$B$2:$B$501,MATCH(C182,'SKU'!$A$2:$A$501,0)),""))</f>
        <v/>
      </c>
      <c r="F182" s="4">
        <f>IF(OR(C182="",E182=""),"",E182*N(IFERROR(INDEX('SKU'!$E$2:$E$501,MATCH(C182,'SKU'!$A$2:$A$501,0)),"")))</f>
        <v/>
      </c>
    </row>
    <row r="183">
      <c r="B183" s="2">
        <f>IF(A183="","",IFERROR(INDEX('판매구성'!$B$2:$B$501,MATCH(A183,'판매구성'!$A$2:$A$501,0)),""))</f>
        <v/>
      </c>
      <c r="D183" s="2">
        <f>IF(C183="","",IFERROR(INDEX('SKU'!$B$2:$B$501,MATCH(C183,'SKU'!$A$2:$A$501,0)),""))</f>
        <v/>
      </c>
      <c r="F183" s="4">
        <f>IF(OR(C183="",E183=""),"",E183*N(IFERROR(INDEX('SKU'!$E$2:$E$501,MATCH(C183,'SKU'!$A$2:$A$501,0)),"")))</f>
        <v/>
      </c>
    </row>
    <row r="184">
      <c r="B184" s="2">
        <f>IF(A184="","",IFERROR(INDEX('판매구성'!$B$2:$B$501,MATCH(A184,'판매구성'!$A$2:$A$501,0)),""))</f>
        <v/>
      </c>
      <c r="D184" s="2">
        <f>IF(C184="","",IFERROR(INDEX('SKU'!$B$2:$B$501,MATCH(C184,'SKU'!$A$2:$A$501,0)),""))</f>
        <v/>
      </c>
      <c r="F184" s="4">
        <f>IF(OR(C184="",E184=""),"",E184*N(IFERROR(INDEX('SKU'!$E$2:$E$501,MATCH(C184,'SKU'!$A$2:$A$501,0)),"")))</f>
        <v/>
      </c>
    </row>
    <row r="185">
      <c r="B185" s="2">
        <f>IF(A185="","",IFERROR(INDEX('판매구성'!$B$2:$B$501,MATCH(A185,'판매구성'!$A$2:$A$501,0)),""))</f>
        <v/>
      </c>
      <c r="D185" s="2">
        <f>IF(C185="","",IFERROR(INDEX('SKU'!$B$2:$B$501,MATCH(C185,'SKU'!$A$2:$A$501,0)),""))</f>
        <v/>
      </c>
      <c r="F185" s="4">
        <f>IF(OR(C185="",E185=""),"",E185*N(IFERROR(INDEX('SKU'!$E$2:$E$501,MATCH(C185,'SKU'!$A$2:$A$501,0)),"")))</f>
        <v/>
      </c>
    </row>
    <row r="186">
      <c r="B186" s="2">
        <f>IF(A186="","",IFERROR(INDEX('판매구성'!$B$2:$B$501,MATCH(A186,'판매구성'!$A$2:$A$501,0)),""))</f>
        <v/>
      </c>
      <c r="D186" s="2">
        <f>IF(C186="","",IFERROR(INDEX('SKU'!$B$2:$B$501,MATCH(C186,'SKU'!$A$2:$A$501,0)),""))</f>
        <v/>
      </c>
      <c r="F186" s="4">
        <f>IF(OR(C186="",E186=""),"",E186*N(IFERROR(INDEX('SKU'!$E$2:$E$501,MATCH(C186,'SKU'!$A$2:$A$501,0)),"")))</f>
        <v/>
      </c>
    </row>
    <row r="187">
      <c r="B187" s="2">
        <f>IF(A187="","",IFERROR(INDEX('판매구성'!$B$2:$B$501,MATCH(A187,'판매구성'!$A$2:$A$501,0)),""))</f>
        <v/>
      </c>
      <c r="D187" s="2">
        <f>IF(C187="","",IFERROR(INDEX('SKU'!$B$2:$B$501,MATCH(C187,'SKU'!$A$2:$A$501,0)),""))</f>
        <v/>
      </c>
      <c r="F187" s="4">
        <f>IF(OR(C187="",E187=""),"",E187*N(IFERROR(INDEX('SKU'!$E$2:$E$501,MATCH(C187,'SKU'!$A$2:$A$501,0)),"")))</f>
        <v/>
      </c>
    </row>
    <row r="188">
      <c r="B188" s="2">
        <f>IF(A188="","",IFERROR(INDEX('판매구성'!$B$2:$B$501,MATCH(A188,'판매구성'!$A$2:$A$501,0)),""))</f>
        <v/>
      </c>
      <c r="D188" s="2">
        <f>IF(C188="","",IFERROR(INDEX('SKU'!$B$2:$B$501,MATCH(C188,'SKU'!$A$2:$A$501,0)),""))</f>
        <v/>
      </c>
      <c r="F188" s="4">
        <f>IF(OR(C188="",E188=""),"",E188*N(IFERROR(INDEX('SKU'!$E$2:$E$501,MATCH(C188,'SKU'!$A$2:$A$501,0)),"")))</f>
        <v/>
      </c>
    </row>
    <row r="189">
      <c r="B189" s="2">
        <f>IF(A189="","",IFERROR(INDEX('판매구성'!$B$2:$B$501,MATCH(A189,'판매구성'!$A$2:$A$501,0)),""))</f>
        <v/>
      </c>
      <c r="D189" s="2">
        <f>IF(C189="","",IFERROR(INDEX('SKU'!$B$2:$B$501,MATCH(C189,'SKU'!$A$2:$A$501,0)),""))</f>
        <v/>
      </c>
      <c r="F189" s="4">
        <f>IF(OR(C189="",E189=""),"",E189*N(IFERROR(INDEX('SKU'!$E$2:$E$501,MATCH(C189,'SKU'!$A$2:$A$501,0)),"")))</f>
        <v/>
      </c>
    </row>
    <row r="190">
      <c r="B190" s="2">
        <f>IF(A190="","",IFERROR(INDEX('판매구성'!$B$2:$B$501,MATCH(A190,'판매구성'!$A$2:$A$501,0)),""))</f>
        <v/>
      </c>
      <c r="D190" s="2">
        <f>IF(C190="","",IFERROR(INDEX('SKU'!$B$2:$B$501,MATCH(C190,'SKU'!$A$2:$A$501,0)),""))</f>
        <v/>
      </c>
      <c r="F190" s="4">
        <f>IF(OR(C190="",E190=""),"",E190*N(IFERROR(INDEX('SKU'!$E$2:$E$501,MATCH(C190,'SKU'!$A$2:$A$501,0)),"")))</f>
        <v/>
      </c>
    </row>
    <row r="191">
      <c r="B191" s="2">
        <f>IF(A191="","",IFERROR(INDEX('판매구성'!$B$2:$B$501,MATCH(A191,'판매구성'!$A$2:$A$501,0)),""))</f>
        <v/>
      </c>
      <c r="D191" s="2">
        <f>IF(C191="","",IFERROR(INDEX('SKU'!$B$2:$B$501,MATCH(C191,'SKU'!$A$2:$A$501,0)),""))</f>
        <v/>
      </c>
      <c r="F191" s="4">
        <f>IF(OR(C191="",E191=""),"",E191*N(IFERROR(INDEX('SKU'!$E$2:$E$501,MATCH(C191,'SKU'!$A$2:$A$501,0)),"")))</f>
        <v/>
      </c>
    </row>
    <row r="192">
      <c r="B192" s="2">
        <f>IF(A192="","",IFERROR(INDEX('판매구성'!$B$2:$B$501,MATCH(A192,'판매구성'!$A$2:$A$501,0)),""))</f>
        <v/>
      </c>
      <c r="D192" s="2">
        <f>IF(C192="","",IFERROR(INDEX('SKU'!$B$2:$B$501,MATCH(C192,'SKU'!$A$2:$A$501,0)),""))</f>
        <v/>
      </c>
      <c r="F192" s="4">
        <f>IF(OR(C192="",E192=""),"",E192*N(IFERROR(INDEX('SKU'!$E$2:$E$501,MATCH(C192,'SKU'!$A$2:$A$501,0)),"")))</f>
        <v/>
      </c>
    </row>
    <row r="193">
      <c r="B193" s="2">
        <f>IF(A193="","",IFERROR(INDEX('판매구성'!$B$2:$B$501,MATCH(A193,'판매구성'!$A$2:$A$501,0)),""))</f>
        <v/>
      </c>
      <c r="D193" s="2">
        <f>IF(C193="","",IFERROR(INDEX('SKU'!$B$2:$B$501,MATCH(C193,'SKU'!$A$2:$A$501,0)),""))</f>
        <v/>
      </c>
      <c r="F193" s="4">
        <f>IF(OR(C193="",E193=""),"",E193*N(IFERROR(INDEX('SKU'!$E$2:$E$501,MATCH(C193,'SKU'!$A$2:$A$501,0)),"")))</f>
        <v/>
      </c>
    </row>
    <row r="194">
      <c r="B194" s="2">
        <f>IF(A194="","",IFERROR(INDEX('판매구성'!$B$2:$B$501,MATCH(A194,'판매구성'!$A$2:$A$501,0)),""))</f>
        <v/>
      </c>
      <c r="D194" s="2">
        <f>IF(C194="","",IFERROR(INDEX('SKU'!$B$2:$B$501,MATCH(C194,'SKU'!$A$2:$A$501,0)),""))</f>
        <v/>
      </c>
      <c r="F194" s="4">
        <f>IF(OR(C194="",E194=""),"",E194*N(IFERROR(INDEX('SKU'!$E$2:$E$501,MATCH(C194,'SKU'!$A$2:$A$501,0)),"")))</f>
        <v/>
      </c>
    </row>
    <row r="195">
      <c r="B195" s="2">
        <f>IF(A195="","",IFERROR(INDEX('판매구성'!$B$2:$B$501,MATCH(A195,'판매구성'!$A$2:$A$501,0)),""))</f>
        <v/>
      </c>
      <c r="D195" s="2">
        <f>IF(C195="","",IFERROR(INDEX('SKU'!$B$2:$B$501,MATCH(C195,'SKU'!$A$2:$A$501,0)),""))</f>
        <v/>
      </c>
      <c r="F195" s="4">
        <f>IF(OR(C195="",E195=""),"",E195*N(IFERROR(INDEX('SKU'!$E$2:$E$501,MATCH(C195,'SKU'!$A$2:$A$501,0)),"")))</f>
        <v/>
      </c>
    </row>
    <row r="196">
      <c r="B196" s="2">
        <f>IF(A196="","",IFERROR(INDEX('판매구성'!$B$2:$B$501,MATCH(A196,'판매구성'!$A$2:$A$501,0)),""))</f>
        <v/>
      </c>
      <c r="D196" s="2">
        <f>IF(C196="","",IFERROR(INDEX('SKU'!$B$2:$B$501,MATCH(C196,'SKU'!$A$2:$A$501,0)),""))</f>
        <v/>
      </c>
      <c r="F196" s="4">
        <f>IF(OR(C196="",E196=""),"",E196*N(IFERROR(INDEX('SKU'!$E$2:$E$501,MATCH(C196,'SKU'!$A$2:$A$501,0)),"")))</f>
        <v/>
      </c>
    </row>
    <row r="197">
      <c r="B197" s="2">
        <f>IF(A197="","",IFERROR(INDEX('판매구성'!$B$2:$B$501,MATCH(A197,'판매구성'!$A$2:$A$501,0)),""))</f>
        <v/>
      </c>
      <c r="D197" s="2">
        <f>IF(C197="","",IFERROR(INDEX('SKU'!$B$2:$B$501,MATCH(C197,'SKU'!$A$2:$A$501,0)),""))</f>
        <v/>
      </c>
      <c r="F197" s="4">
        <f>IF(OR(C197="",E197=""),"",E197*N(IFERROR(INDEX('SKU'!$E$2:$E$501,MATCH(C197,'SKU'!$A$2:$A$501,0)),"")))</f>
        <v/>
      </c>
    </row>
    <row r="198">
      <c r="B198" s="2">
        <f>IF(A198="","",IFERROR(INDEX('판매구성'!$B$2:$B$501,MATCH(A198,'판매구성'!$A$2:$A$501,0)),""))</f>
        <v/>
      </c>
      <c r="D198" s="2">
        <f>IF(C198="","",IFERROR(INDEX('SKU'!$B$2:$B$501,MATCH(C198,'SKU'!$A$2:$A$501,0)),""))</f>
        <v/>
      </c>
      <c r="F198" s="4">
        <f>IF(OR(C198="",E198=""),"",E198*N(IFERROR(INDEX('SKU'!$E$2:$E$501,MATCH(C198,'SKU'!$A$2:$A$501,0)),"")))</f>
        <v/>
      </c>
    </row>
    <row r="199">
      <c r="B199" s="2">
        <f>IF(A199="","",IFERROR(INDEX('판매구성'!$B$2:$B$501,MATCH(A199,'판매구성'!$A$2:$A$501,0)),""))</f>
        <v/>
      </c>
      <c r="D199" s="2">
        <f>IF(C199="","",IFERROR(INDEX('SKU'!$B$2:$B$501,MATCH(C199,'SKU'!$A$2:$A$501,0)),""))</f>
        <v/>
      </c>
      <c r="F199" s="4">
        <f>IF(OR(C199="",E199=""),"",E199*N(IFERROR(INDEX('SKU'!$E$2:$E$501,MATCH(C199,'SKU'!$A$2:$A$501,0)),"")))</f>
        <v/>
      </c>
    </row>
    <row r="200">
      <c r="B200" s="2">
        <f>IF(A200="","",IFERROR(INDEX('판매구성'!$B$2:$B$501,MATCH(A200,'판매구성'!$A$2:$A$501,0)),""))</f>
        <v/>
      </c>
      <c r="D200" s="2">
        <f>IF(C200="","",IFERROR(INDEX('SKU'!$B$2:$B$501,MATCH(C200,'SKU'!$A$2:$A$501,0)),""))</f>
        <v/>
      </c>
      <c r="F200" s="4">
        <f>IF(OR(C200="",E200=""),"",E200*N(IFERROR(INDEX('SKU'!$E$2:$E$501,MATCH(C200,'SKU'!$A$2:$A$501,0)),"")))</f>
        <v/>
      </c>
    </row>
    <row r="201">
      <c r="B201" s="2">
        <f>IF(A201="","",IFERROR(INDEX('판매구성'!$B$2:$B$501,MATCH(A201,'판매구성'!$A$2:$A$501,0)),""))</f>
        <v/>
      </c>
      <c r="D201" s="2">
        <f>IF(C201="","",IFERROR(INDEX('SKU'!$B$2:$B$501,MATCH(C201,'SKU'!$A$2:$A$501,0)),""))</f>
        <v/>
      </c>
      <c r="F201" s="4">
        <f>IF(OR(C201="",E201=""),"",E201*N(IFERROR(INDEX('SKU'!$E$2:$E$501,MATCH(C201,'SKU'!$A$2:$A$501,0)),"")))</f>
        <v/>
      </c>
    </row>
    <row r="202">
      <c r="B202" s="2">
        <f>IF(A202="","",IFERROR(INDEX('판매구성'!$B$2:$B$501,MATCH(A202,'판매구성'!$A$2:$A$501,0)),""))</f>
        <v/>
      </c>
      <c r="D202" s="2">
        <f>IF(C202="","",IFERROR(INDEX('SKU'!$B$2:$B$501,MATCH(C202,'SKU'!$A$2:$A$501,0)),""))</f>
        <v/>
      </c>
      <c r="F202" s="4">
        <f>IF(OR(C202="",E202=""),"",E202*N(IFERROR(INDEX('SKU'!$E$2:$E$501,MATCH(C202,'SKU'!$A$2:$A$501,0)),"")))</f>
        <v/>
      </c>
    </row>
    <row r="203">
      <c r="B203" s="2">
        <f>IF(A203="","",IFERROR(INDEX('판매구성'!$B$2:$B$501,MATCH(A203,'판매구성'!$A$2:$A$501,0)),""))</f>
        <v/>
      </c>
      <c r="D203" s="2">
        <f>IF(C203="","",IFERROR(INDEX('SKU'!$B$2:$B$501,MATCH(C203,'SKU'!$A$2:$A$501,0)),""))</f>
        <v/>
      </c>
      <c r="F203" s="4">
        <f>IF(OR(C203="",E203=""),"",E203*N(IFERROR(INDEX('SKU'!$E$2:$E$501,MATCH(C203,'SKU'!$A$2:$A$501,0)),"")))</f>
        <v/>
      </c>
    </row>
    <row r="204">
      <c r="B204" s="2">
        <f>IF(A204="","",IFERROR(INDEX('판매구성'!$B$2:$B$501,MATCH(A204,'판매구성'!$A$2:$A$501,0)),""))</f>
        <v/>
      </c>
      <c r="D204" s="2">
        <f>IF(C204="","",IFERROR(INDEX('SKU'!$B$2:$B$501,MATCH(C204,'SKU'!$A$2:$A$501,0)),""))</f>
        <v/>
      </c>
      <c r="F204" s="4">
        <f>IF(OR(C204="",E204=""),"",E204*N(IFERROR(INDEX('SKU'!$E$2:$E$501,MATCH(C204,'SKU'!$A$2:$A$501,0)),"")))</f>
        <v/>
      </c>
    </row>
    <row r="205">
      <c r="B205" s="2">
        <f>IF(A205="","",IFERROR(INDEX('판매구성'!$B$2:$B$501,MATCH(A205,'판매구성'!$A$2:$A$501,0)),""))</f>
        <v/>
      </c>
      <c r="D205" s="2">
        <f>IF(C205="","",IFERROR(INDEX('SKU'!$B$2:$B$501,MATCH(C205,'SKU'!$A$2:$A$501,0)),""))</f>
        <v/>
      </c>
      <c r="F205" s="4">
        <f>IF(OR(C205="",E205=""),"",E205*N(IFERROR(INDEX('SKU'!$E$2:$E$501,MATCH(C205,'SKU'!$A$2:$A$501,0)),"")))</f>
        <v/>
      </c>
    </row>
    <row r="206">
      <c r="B206" s="2">
        <f>IF(A206="","",IFERROR(INDEX('판매구성'!$B$2:$B$501,MATCH(A206,'판매구성'!$A$2:$A$501,0)),""))</f>
        <v/>
      </c>
      <c r="D206" s="2">
        <f>IF(C206="","",IFERROR(INDEX('SKU'!$B$2:$B$501,MATCH(C206,'SKU'!$A$2:$A$501,0)),""))</f>
        <v/>
      </c>
      <c r="F206" s="4">
        <f>IF(OR(C206="",E206=""),"",E206*N(IFERROR(INDEX('SKU'!$E$2:$E$501,MATCH(C206,'SKU'!$A$2:$A$501,0)),"")))</f>
        <v/>
      </c>
    </row>
    <row r="207">
      <c r="B207" s="2">
        <f>IF(A207="","",IFERROR(INDEX('판매구성'!$B$2:$B$501,MATCH(A207,'판매구성'!$A$2:$A$501,0)),""))</f>
        <v/>
      </c>
      <c r="D207" s="2">
        <f>IF(C207="","",IFERROR(INDEX('SKU'!$B$2:$B$501,MATCH(C207,'SKU'!$A$2:$A$501,0)),""))</f>
        <v/>
      </c>
      <c r="F207" s="4">
        <f>IF(OR(C207="",E207=""),"",E207*N(IFERROR(INDEX('SKU'!$E$2:$E$501,MATCH(C207,'SKU'!$A$2:$A$501,0)),"")))</f>
        <v/>
      </c>
    </row>
    <row r="208">
      <c r="B208" s="2">
        <f>IF(A208="","",IFERROR(INDEX('판매구성'!$B$2:$B$501,MATCH(A208,'판매구성'!$A$2:$A$501,0)),""))</f>
        <v/>
      </c>
      <c r="D208" s="2">
        <f>IF(C208="","",IFERROR(INDEX('SKU'!$B$2:$B$501,MATCH(C208,'SKU'!$A$2:$A$501,0)),""))</f>
        <v/>
      </c>
      <c r="F208" s="4">
        <f>IF(OR(C208="",E208=""),"",E208*N(IFERROR(INDEX('SKU'!$E$2:$E$501,MATCH(C208,'SKU'!$A$2:$A$501,0)),"")))</f>
        <v/>
      </c>
    </row>
    <row r="209">
      <c r="B209" s="2">
        <f>IF(A209="","",IFERROR(INDEX('판매구성'!$B$2:$B$501,MATCH(A209,'판매구성'!$A$2:$A$501,0)),""))</f>
        <v/>
      </c>
      <c r="D209" s="2">
        <f>IF(C209="","",IFERROR(INDEX('SKU'!$B$2:$B$501,MATCH(C209,'SKU'!$A$2:$A$501,0)),""))</f>
        <v/>
      </c>
      <c r="F209" s="4">
        <f>IF(OR(C209="",E209=""),"",E209*N(IFERROR(INDEX('SKU'!$E$2:$E$501,MATCH(C209,'SKU'!$A$2:$A$501,0)),"")))</f>
        <v/>
      </c>
    </row>
    <row r="210">
      <c r="B210" s="2">
        <f>IF(A210="","",IFERROR(INDEX('판매구성'!$B$2:$B$501,MATCH(A210,'판매구성'!$A$2:$A$501,0)),""))</f>
        <v/>
      </c>
      <c r="D210" s="2">
        <f>IF(C210="","",IFERROR(INDEX('SKU'!$B$2:$B$501,MATCH(C210,'SKU'!$A$2:$A$501,0)),""))</f>
        <v/>
      </c>
      <c r="F210" s="4">
        <f>IF(OR(C210="",E210=""),"",E210*N(IFERROR(INDEX('SKU'!$E$2:$E$501,MATCH(C210,'SKU'!$A$2:$A$501,0)),"")))</f>
        <v/>
      </c>
    </row>
    <row r="211">
      <c r="B211" s="2">
        <f>IF(A211="","",IFERROR(INDEX('판매구성'!$B$2:$B$501,MATCH(A211,'판매구성'!$A$2:$A$501,0)),""))</f>
        <v/>
      </c>
      <c r="D211" s="2">
        <f>IF(C211="","",IFERROR(INDEX('SKU'!$B$2:$B$501,MATCH(C211,'SKU'!$A$2:$A$501,0)),""))</f>
        <v/>
      </c>
      <c r="F211" s="4">
        <f>IF(OR(C211="",E211=""),"",E211*N(IFERROR(INDEX('SKU'!$E$2:$E$501,MATCH(C211,'SKU'!$A$2:$A$501,0)),"")))</f>
        <v/>
      </c>
    </row>
    <row r="212">
      <c r="B212" s="2">
        <f>IF(A212="","",IFERROR(INDEX('판매구성'!$B$2:$B$501,MATCH(A212,'판매구성'!$A$2:$A$501,0)),""))</f>
        <v/>
      </c>
      <c r="D212" s="2">
        <f>IF(C212="","",IFERROR(INDEX('SKU'!$B$2:$B$501,MATCH(C212,'SKU'!$A$2:$A$501,0)),""))</f>
        <v/>
      </c>
      <c r="F212" s="4">
        <f>IF(OR(C212="",E212=""),"",E212*N(IFERROR(INDEX('SKU'!$E$2:$E$501,MATCH(C212,'SKU'!$A$2:$A$501,0)),"")))</f>
        <v/>
      </c>
    </row>
    <row r="213">
      <c r="B213" s="2">
        <f>IF(A213="","",IFERROR(INDEX('판매구성'!$B$2:$B$501,MATCH(A213,'판매구성'!$A$2:$A$501,0)),""))</f>
        <v/>
      </c>
      <c r="D213" s="2">
        <f>IF(C213="","",IFERROR(INDEX('SKU'!$B$2:$B$501,MATCH(C213,'SKU'!$A$2:$A$501,0)),""))</f>
        <v/>
      </c>
      <c r="F213" s="4">
        <f>IF(OR(C213="",E213=""),"",E213*N(IFERROR(INDEX('SKU'!$E$2:$E$501,MATCH(C213,'SKU'!$A$2:$A$501,0)),"")))</f>
        <v/>
      </c>
    </row>
    <row r="214">
      <c r="B214" s="2">
        <f>IF(A214="","",IFERROR(INDEX('판매구성'!$B$2:$B$501,MATCH(A214,'판매구성'!$A$2:$A$501,0)),""))</f>
        <v/>
      </c>
      <c r="D214" s="2">
        <f>IF(C214="","",IFERROR(INDEX('SKU'!$B$2:$B$501,MATCH(C214,'SKU'!$A$2:$A$501,0)),""))</f>
        <v/>
      </c>
      <c r="F214" s="4">
        <f>IF(OR(C214="",E214=""),"",E214*N(IFERROR(INDEX('SKU'!$E$2:$E$501,MATCH(C214,'SKU'!$A$2:$A$501,0)),"")))</f>
        <v/>
      </c>
    </row>
    <row r="215">
      <c r="B215" s="2">
        <f>IF(A215="","",IFERROR(INDEX('판매구성'!$B$2:$B$501,MATCH(A215,'판매구성'!$A$2:$A$501,0)),""))</f>
        <v/>
      </c>
      <c r="D215" s="2">
        <f>IF(C215="","",IFERROR(INDEX('SKU'!$B$2:$B$501,MATCH(C215,'SKU'!$A$2:$A$501,0)),""))</f>
        <v/>
      </c>
      <c r="F215" s="4">
        <f>IF(OR(C215="",E215=""),"",E215*N(IFERROR(INDEX('SKU'!$E$2:$E$501,MATCH(C215,'SKU'!$A$2:$A$501,0)),"")))</f>
        <v/>
      </c>
    </row>
    <row r="216">
      <c r="B216" s="2">
        <f>IF(A216="","",IFERROR(INDEX('판매구성'!$B$2:$B$501,MATCH(A216,'판매구성'!$A$2:$A$501,0)),""))</f>
        <v/>
      </c>
      <c r="D216" s="2">
        <f>IF(C216="","",IFERROR(INDEX('SKU'!$B$2:$B$501,MATCH(C216,'SKU'!$A$2:$A$501,0)),""))</f>
        <v/>
      </c>
      <c r="F216" s="4">
        <f>IF(OR(C216="",E216=""),"",E216*N(IFERROR(INDEX('SKU'!$E$2:$E$501,MATCH(C216,'SKU'!$A$2:$A$501,0)),"")))</f>
        <v/>
      </c>
    </row>
    <row r="217">
      <c r="B217" s="2">
        <f>IF(A217="","",IFERROR(INDEX('판매구성'!$B$2:$B$501,MATCH(A217,'판매구성'!$A$2:$A$501,0)),""))</f>
        <v/>
      </c>
      <c r="D217" s="2">
        <f>IF(C217="","",IFERROR(INDEX('SKU'!$B$2:$B$501,MATCH(C217,'SKU'!$A$2:$A$501,0)),""))</f>
        <v/>
      </c>
      <c r="F217" s="4">
        <f>IF(OR(C217="",E217=""),"",E217*N(IFERROR(INDEX('SKU'!$E$2:$E$501,MATCH(C217,'SKU'!$A$2:$A$501,0)),"")))</f>
        <v/>
      </c>
    </row>
    <row r="218">
      <c r="B218" s="2">
        <f>IF(A218="","",IFERROR(INDEX('판매구성'!$B$2:$B$501,MATCH(A218,'판매구성'!$A$2:$A$501,0)),""))</f>
        <v/>
      </c>
      <c r="D218" s="2">
        <f>IF(C218="","",IFERROR(INDEX('SKU'!$B$2:$B$501,MATCH(C218,'SKU'!$A$2:$A$501,0)),""))</f>
        <v/>
      </c>
      <c r="F218" s="4">
        <f>IF(OR(C218="",E218=""),"",E218*N(IFERROR(INDEX('SKU'!$E$2:$E$501,MATCH(C218,'SKU'!$A$2:$A$501,0)),"")))</f>
        <v/>
      </c>
    </row>
    <row r="219">
      <c r="B219" s="2">
        <f>IF(A219="","",IFERROR(INDEX('판매구성'!$B$2:$B$501,MATCH(A219,'판매구성'!$A$2:$A$501,0)),""))</f>
        <v/>
      </c>
      <c r="D219" s="2">
        <f>IF(C219="","",IFERROR(INDEX('SKU'!$B$2:$B$501,MATCH(C219,'SKU'!$A$2:$A$501,0)),""))</f>
        <v/>
      </c>
      <c r="F219" s="4">
        <f>IF(OR(C219="",E219=""),"",E219*N(IFERROR(INDEX('SKU'!$E$2:$E$501,MATCH(C219,'SKU'!$A$2:$A$501,0)),"")))</f>
        <v/>
      </c>
    </row>
    <row r="220">
      <c r="B220" s="2">
        <f>IF(A220="","",IFERROR(INDEX('판매구성'!$B$2:$B$501,MATCH(A220,'판매구성'!$A$2:$A$501,0)),""))</f>
        <v/>
      </c>
      <c r="D220" s="2">
        <f>IF(C220="","",IFERROR(INDEX('SKU'!$B$2:$B$501,MATCH(C220,'SKU'!$A$2:$A$501,0)),""))</f>
        <v/>
      </c>
      <c r="F220" s="4">
        <f>IF(OR(C220="",E220=""),"",E220*N(IFERROR(INDEX('SKU'!$E$2:$E$501,MATCH(C220,'SKU'!$A$2:$A$501,0)),"")))</f>
        <v/>
      </c>
    </row>
    <row r="221">
      <c r="B221" s="2">
        <f>IF(A221="","",IFERROR(INDEX('판매구성'!$B$2:$B$501,MATCH(A221,'판매구성'!$A$2:$A$501,0)),""))</f>
        <v/>
      </c>
      <c r="D221" s="2">
        <f>IF(C221="","",IFERROR(INDEX('SKU'!$B$2:$B$501,MATCH(C221,'SKU'!$A$2:$A$501,0)),""))</f>
        <v/>
      </c>
      <c r="F221" s="4">
        <f>IF(OR(C221="",E221=""),"",E221*N(IFERROR(INDEX('SKU'!$E$2:$E$501,MATCH(C221,'SKU'!$A$2:$A$501,0)),"")))</f>
        <v/>
      </c>
    </row>
    <row r="222">
      <c r="B222" s="2">
        <f>IF(A222="","",IFERROR(INDEX('판매구성'!$B$2:$B$501,MATCH(A222,'판매구성'!$A$2:$A$501,0)),""))</f>
        <v/>
      </c>
      <c r="D222" s="2">
        <f>IF(C222="","",IFERROR(INDEX('SKU'!$B$2:$B$501,MATCH(C222,'SKU'!$A$2:$A$501,0)),""))</f>
        <v/>
      </c>
      <c r="F222" s="4">
        <f>IF(OR(C222="",E222=""),"",E222*N(IFERROR(INDEX('SKU'!$E$2:$E$501,MATCH(C222,'SKU'!$A$2:$A$501,0)),"")))</f>
        <v/>
      </c>
    </row>
    <row r="223">
      <c r="B223" s="2">
        <f>IF(A223="","",IFERROR(INDEX('판매구성'!$B$2:$B$501,MATCH(A223,'판매구성'!$A$2:$A$501,0)),""))</f>
        <v/>
      </c>
      <c r="D223" s="2">
        <f>IF(C223="","",IFERROR(INDEX('SKU'!$B$2:$B$501,MATCH(C223,'SKU'!$A$2:$A$501,0)),""))</f>
        <v/>
      </c>
      <c r="F223" s="4">
        <f>IF(OR(C223="",E223=""),"",E223*N(IFERROR(INDEX('SKU'!$E$2:$E$501,MATCH(C223,'SKU'!$A$2:$A$501,0)),"")))</f>
        <v/>
      </c>
    </row>
    <row r="224">
      <c r="B224" s="2">
        <f>IF(A224="","",IFERROR(INDEX('판매구성'!$B$2:$B$501,MATCH(A224,'판매구성'!$A$2:$A$501,0)),""))</f>
        <v/>
      </c>
      <c r="D224" s="2">
        <f>IF(C224="","",IFERROR(INDEX('SKU'!$B$2:$B$501,MATCH(C224,'SKU'!$A$2:$A$501,0)),""))</f>
        <v/>
      </c>
      <c r="F224" s="4">
        <f>IF(OR(C224="",E224=""),"",E224*N(IFERROR(INDEX('SKU'!$E$2:$E$501,MATCH(C224,'SKU'!$A$2:$A$501,0)),"")))</f>
        <v/>
      </c>
    </row>
    <row r="225">
      <c r="B225" s="2">
        <f>IF(A225="","",IFERROR(INDEX('판매구성'!$B$2:$B$501,MATCH(A225,'판매구성'!$A$2:$A$501,0)),""))</f>
        <v/>
      </c>
      <c r="D225" s="2">
        <f>IF(C225="","",IFERROR(INDEX('SKU'!$B$2:$B$501,MATCH(C225,'SKU'!$A$2:$A$501,0)),""))</f>
        <v/>
      </c>
      <c r="F225" s="4">
        <f>IF(OR(C225="",E225=""),"",E225*N(IFERROR(INDEX('SKU'!$E$2:$E$501,MATCH(C225,'SKU'!$A$2:$A$501,0)),"")))</f>
        <v/>
      </c>
    </row>
    <row r="226">
      <c r="B226" s="2">
        <f>IF(A226="","",IFERROR(INDEX('판매구성'!$B$2:$B$501,MATCH(A226,'판매구성'!$A$2:$A$501,0)),""))</f>
        <v/>
      </c>
      <c r="D226" s="2">
        <f>IF(C226="","",IFERROR(INDEX('SKU'!$B$2:$B$501,MATCH(C226,'SKU'!$A$2:$A$501,0)),""))</f>
        <v/>
      </c>
      <c r="F226" s="4">
        <f>IF(OR(C226="",E226=""),"",E226*N(IFERROR(INDEX('SKU'!$E$2:$E$501,MATCH(C226,'SKU'!$A$2:$A$501,0)),"")))</f>
        <v/>
      </c>
    </row>
    <row r="227">
      <c r="B227" s="2">
        <f>IF(A227="","",IFERROR(INDEX('판매구성'!$B$2:$B$501,MATCH(A227,'판매구성'!$A$2:$A$501,0)),""))</f>
        <v/>
      </c>
      <c r="D227" s="2">
        <f>IF(C227="","",IFERROR(INDEX('SKU'!$B$2:$B$501,MATCH(C227,'SKU'!$A$2:$A$501,0)),""))</f>
        <v/>
      </c>
      <c r="F227" s="4">
        <f>IF(OR(C227="",E227=""),"",E227*N(IFERROR(INDEX('SKU'!$E$2:$E$501,MATCH(C227,'SKU'!$A$2:$A$501,0)),"")))</f>
        <v/>
      </c>
    </row>
    <row r="228">
      <c r="B228" s="2">
        <f>IF(A228="","",IFERROR(INDEX('판매구성'!$B$2:$B$501,MATCH(A228,'판매구성'!$A$2:$A$501,0)),""))</f>
        <v/>
      </c>
      <c r="D228" s="2">
        <f>IF(C228="","",IFERROR(INDEX('SKU'!$B$2:$B$501,MATCH(C228,'SKU'!$A$2:$A$501,0)),""))</f>
        <v/>
      </c>
      <c r="F228" s="4">
        <f>IF(OR(C228="",E228=""),"",E228*N(IFERROR(INDEX('SKU'!$E$2:$E$501,MATCH(C228,'SKU'!$A$2:$A$501,0)),"")))</f>
        <v/>
      </c>
    </row>
    <row r="229">
      <c r="B229" s="2">
        <f>IF(A229="","",IFERROR(INDEX('판매구성'!$B$2:$B$501,MATCH(A229,'판매구성'!$A$2:$A$501,0)),""))</f>
        <v/>
      </c>
      <c r="D229" s="2">
        <f>IF(C229="","",IFERROR(INDEX('SKU'!$B$2:$B$501,MATCH(C229,'SKU'!$A$2:$A$501,0)),""))</f>
        <v/>
      </c>
      <c r="F229" s="4">
        <f>IF(OR(C229="",E229=""),"",E229*N(IFERROR(INDEX('SKU'!$E$2:$E$501,MATCH(C229,'SKU'!$A$2:$A$501,0)),"")))</f>
        <v/>
      </c>
    </row>
    <row r="230">
      <c r="B230" s="2">
        <f>IF(A230="","",IFERROR(INDEX('판매구성'!$B$2:$B$501,MATCH(A230,'판매구성'!$A$2:$A$501,0)),""))</f>
        <v/>
      </c>
      <c r="D230" s="2">
        <f>IF(C230="","",IFERROR(INDEX('SKU'!$B$2:$B$501,MATCH(C230,'SKU'!$A$2:$A$501,0)),""))</f>
        <v/>
      </c>
      <c r="F230" s="4">
        <f>IF(OR(C230="",E230=""),"",E230*N(IFERROR(INDEX('SKU'!$E$2:$E$501,MATCH(C230,'SKU'!$A$2:$A$501,0)),"")))</f>
        <v/>
      </c>
    </row>
    <row r="231">
      <c r="B231" s="2">
        <f>IF(A231="","",IFERROR(INDEX('판매구성'!$B$2:$B$501,MATCH(A231,'판매구성'!$A$2:$A$501,0)),""))</f>
        <v/>
      </c>
      <c r="D231" s="2">
        <f>IF(C231="","",IFERROR(INDEX('SKU'!$B$2:$B$501,MATCH(C231,'SKU'!$A$2:$A$501,0)),""))</f>
        <v/>
      </c>
      <c r="F231" s="4">
        <f>IF(OR(C231="",E231=""),"",E231*N(IFERROR(INDEX('SKU'!$E$2:$E$501,MATCH(C231,'SKU'!$A$2:$A$501,0)),"")))</f>
        <v/>
      </c>
    </row>
    <row r="232">
      <c r="B232" s="2">
        <f>IF(A232="","",IFERROR(INDEX('판매구성'!$B$2:$B$501,MATCH(A232,'판매구성'!$A$2:$A$501,0)),""))</f>
        <v/>
      </c>
      <c r="D232" s="2">
        <f>IF(C232="","",IFERROR(INDEX('SKU'!$B$2:$B$501,MATCH(C232,'SKU'!$A$2:$A$501,0)),""))</f>
        <v/>
      </c>
      <c r="F232" s="4">
        <f>IF(OR(C232="",E232=""),"",E232*N(IFERROR(INDEX('SKU'!$E$2:$E$501,MATCH(C232,'SKU'!$A$2:$A$501,0)),"")))</f>
        <v/>
      </c>
    </row>
    <row r="233">
      <c r="B233" s="2">
        <f>IF(A233="","",IFERROR(INDEX('판매구성'!$B$2:$B$501,MATCH(A233,'판매구성'!$A$2:$A$501,0)),""))</f>
        <v/>
      </c>
      <c r="D233" s="2">
        <f>IF(C233="","",IFERROR(INDEX('SKU'!$B$2:$B$501,MATCH(C233,'SKU'!$A$2:$A$501,0)),""))</f>
        <v/>
      </c>
      <c r="F233" s="4">
        <f>IF(OR(C233="",E233=""),"",E233*N(IFERROR(INDEX('SKU'!$E$2:$E$501,MATCH(C233,'SKU'!$A$2:$A$501,0)),"")))</f>
        <v/>
      </c>
    </row>
    <row r="234">
      <c r="B234" s="2">
        <f>IF(A234="","",IFERROR(INDEX('판매구성'!$B$2:$B$501,MATCH(A234,'판매구성'!$A$2:$A$501,0)),""))</f>
        <v/>
      </c>
      <c r="D234" s="2">
        <f>IF(C234="","",IFERROR(INDEX('SKU'!$B$2:$B$501,MATCH(C234,'SKU'!$A$2:$A$501,0)),""))</f>
        <v/>
      </c>
      <c r="F234" s="4">
        <f>IF(OR(C234="",E234=""),"",E234*N(IFERROR(INDEX('SKU'!$E$2:$E$501,MATCH(C234,'SKU'!$A$2:$A$501,0)),"")))</f>
        <v/>
      </c>
    </row>
    <row r="235">
      <c r="B235" s="2">
        <f>IF(A235="","",IFERROR(INDEX('판매구성'!$B$2:$B$501,MATCH(A235,'판매구성'!$A$2:$A$501,0)),""))</f>
        <v/>
      </c>
      <c r="D235" s="2">
        <f>IF(C235="","",IFERROR(INDEX('SKU'!$B$2:$B$501,MATCH(C235,'SKU'!$A$2:$A$501,0)),""))</f>
        <v/>
      </c>
      <c r="F235" s="4">
        <f>IF(OR(C235="",E235=""),"",E235*N(IFERROR(INDEX('SKU'!$E$2:$E$501,MATCH(C235,'SKU'!$A$2:$A$501,0)),"")))</f>
        <v/>
      </c>
    </row>
    <row r="236">
      <c r="B236" s="2">
        <f>IF(A236="","",IFERROR(INDEX('판매구성'!$B$2:$B$501,MATCH(A236,'판매구성'!$A$2:$A$501,0)),""))</f>
        <v/>
      </c>
      <c r="D236" s="2">
        <f>IF(C236="","",IFERROR(INDEX('SKU'!$B$2:$B$501,MATCH(C236,'SKU'!$A$2:$A$501,0)),""))</f>
        <v/>
      </c>
      <c r="F236" s="4">
        <f>IF(OR(C236="",E236=""),"",E236*N(IFERROR(INDEX('SKU'!$E$2:$E$501,MATCH(C236,'SKU'!$A$2:$A$501,0)),"")))</f>
        <v/>
      </c>
    </row>
    <row r="237">
      <c r="B237" s="2">
        <f>IF(A237="","",IFERROR(INDEX('판매구성'!$B$2:$B$501,MATCH(A237,'판매구성'!$A$2:$A$501,0)),""))</f>
        <v/>
      </c>
      <c r="D237" s="2">
        <f>IF(C237="","",IFERROR(INDEX('SKU'!$B$2:$B$501,MATCH(C237,'SKU'!$A$2:$A$501,0)),""))</f>
        <v/>
      </c>
      <c r="F237" s="4">
        <f>IF(OR(C237="",E237=""),"",E237*N(IFERROR(INDEX('SKU'!$E$2:$E$501,MATCH(C237,'SKU'!$A$2:$A$501,0)),"")))</f>
        <v/>
      </c>
    </row>
    <row r="238">
      <c r="B238" s="2">
        <f>IF(A238="","",IFERROR(INDEX('판매구성'!$B$2:$B$501,MATCH(A238,'판매구성'!$A$2:$A$501,0)),""))</f>
        <v/>
      </c>
      <c r="D238" s="2">
        <f>IF(C238="","",IFERROR(INDEX('SKU'!$B$2:$B$501,MATCH(C238,'SKU'!$A$2:$A$501,0)),""))</f>
        <v/>
      </c>
      <c r="F238" s="4">
        <f>IF(OR(C238="",E238=""),"",E238*N(IFERROR(INDEX('SKU'!$E$2:$E$501,MATCH(C238,'SKU'!$A$2:$A$501,0)),"")))</f>
        <v/>
      </c>
    </row>
    <row r="239">
      <c r="B239" s="2">
        <f>IF(A239="","",IFERROR(INDEX('판매구성'!$B$2:$B$501,MATCH(A239,'판매구성'!$A$2:$A$501,0)),""))</f>
        <v/>
      </c>
      <c r="D239" s="2">
        <f>IF(C239="","",IFERROR(INDEX('SKU'!$B$2:$B$501,MATCH(C239,'SKU'!$A$2:$A$501,0)),""))</f>
        <v/>
      </c>
      <c r="F239" s="4">
        <f>IF(OR(C239="",E239=""),"",E239*N(IFERROR(INDEX('SKU'!$E$2:$E$501,MATCH(C239,'SKU'!$A$2:$A$501,0)),"")))</f>
        <v/>
      </c>
    </row>
    <row r="240">
      <c r="B240" s="2">
        <f>IF(A240="","",IFERROR(INDEX('판매구성'!$B$2:$B$501,MATCH(A240,'판매구성'!$A$2:$A$501,0)),""))</f>
        <v/>
      </c>
      <c r="D240" s="2">
        <f>IF(C240="","",IFERROR(INDEX('SKU'!$B$2:$B$501,MATCH(C240,'SKU'!$A$2:$A$501,0)),""))</f>
        <v/>
      </c>
      <c r="F240" s="4">
        <f>IF(OR(C240="",E240=""),"",E240*N(IFERROR(INDEX('SKU'!$E$2:$E$501,MATCH(C240,'SKU'!$A$2:$A$501,0)),"")))</f>
        <v/>
      </c>
    </row>
    <row r="241">
      <c r="B241" s="2">
        <f>IF(A241="","",IFERROR(INDEX('판매구성'!$B$2:$B$501,MATCH(A241,'판매구성'!$A$2:$A$501,0)),""))</f>
        <v/>
      </c>
      <c r="D241" s="2">
        <f>IF(C241="","",IFERROR(INDEX('SKU'!$B$2:$B$501,MATCH(C241,'SKU'!$A$2:$A$501,0)),""))</f>
        <v/>
      </c>
      <c r="F241" s="4">
        <f>IF(OR(C241="",E241=""),"",E241*N(IFERROR(INDEX('SKU'!$E$2:$E$501,MATCH(C241,'SKU'!$A$2:$A$501,0)),"")))</f>
        <v/>
      </c>
    </row>
    <row r="242">
      <c r="B242" s="2">
        <f>IF(A242="","",IFERROR(INDEX('판매구성'!$B$2:$B$501,MATCH(A242,'판매구성'!$A$2:$A$501,0)),""))</f>
        <v/>
      </c>
      <c r="D242" s="2">
        <f>IF(C242="","",IFERROR(INDEX('SKU'!$B$2:$B$501,MATCH(C242,'SKU'!$A$2:$A$501,0)),""))</f>
        <v/>
      </c>
      <c r="F242" s="4">
        <f>IF(OR(C242="",E242=""),"",E242*N(IFERROR(INDEX('SKU'!$E$2:$E$501,MATCH(C242,'SKU'!$A$2:$A$501,0)),"")))</f>
        <v/>
      </c>
    </row>
    <row r="243">
      <c r="B243" s="2">
        <f>IF(A243="","",IFERROR(INDEX('판매구성'!$B$2:$B$501,MATCH(A243,'판매구성'!$A$2:$A$501,0)),""))</f>
        <v/>
      </c>
      <c r="D243" s="2">
        <f>IF(C243="","",IFERROR(INDEX('SKU'!$B$2:$B$501,MATCH(C243,'SKU'!$A$2:$A$501,0)),""))</f>
        <v/>
      </c>
      <c r="F243" s="4">
        <f>IF(OR(C243="",E243=""),"",E243*N(IFERROR(INDEX('SKU'!$E$2:$E$501,MATCH(C243,'SKU'!$A$2:$A$501,0)),"")))</f>
        <v/>
      </c>
    </row>
    <row r="244">
      <c r="B244" s="2">
        <f>IF(A244="","",IFERROR(INDEX('판매구성'!$B$2:$B$501,MATCH(A244,'판매구성'!$A$2:$A$501,0)),""))</f>
        <v/>
      </c>
      <c r="D244" s="2">
        <f>IF(C244="","",IFERROR(INDEX('SKU'!$B$2:$B$501,MATCH(C244,'SKU'!$A$2:$A$501,0)),""))</f>
        <v/>
      </c>
      <c r="F244" s="4">
        <f>IF(OR(C244="",E244=""),"",E244*N(IFERROR(INDEX('SKU'!$E$2:$E$501,MATCH(C244,'SKU'!$A$2:$A$501,0)),"")))</f>
        <v/>
      </c>
    </row>
    <row r="245">
      <c r="B245" s="2">
        <f>IF(A245="","",IFERROR(INDEX('판매구성'!$B$2:$B$501,MATCH(A245,'판매구성'!$A$2:$A$501,0)),""))</f>
        <v/>
      </c>
      <c r="D245" s="2">
        <f>IF(C245="","",IFERROR(INDEX('SKU'!$B$2:$B$501,MATCH(C245,'SKU'!$A$2:$A$501,0)),""))</f>
        <v/>
      </c>
      <c r="F245" s="4">
        <f>IF(OR(C245="",E245=""),"",E245*N(IFERROR(INDEX('SKU'!$E$2:$E$501,MATCH(C245,'SKU'!$A$2:$A$501,0)),"")))</f>
        <v/>
      </c>
    </row>
    <row r="246">
      <c r="B246" s="2">
        <f>IF(A246="","",IFERROR(INDEX('판매구성'!$B$2:$B$501,MATCH(A246,'판매구성'!$A$2:$A$501,0)),""))</f>
        <v/>
      </c>
      <c r="D246" s="2">
        <f>IF(C246="","",IFERROR(INDEX('SKU'!$B$2:$B$501,MATCH(C246,'SKU'!$A$2:$A$501,0)),""))</f>
        <v/>
      </c>
      <c r="F246" s="4">
        <f>IF(OR(C246="",E246=""),"",E246*N(IFERROR(INDEX('SKU'!$E$2:$E$501,MATCH(C246,'SKU'!$A$2:$A$501,0)),"")))</f>
        <v/>
      </c>
    </row>
    <row r="247">
      <c r="B247" s="2">
        <f>IF(A247="","",IFERROR(INDEX('판매구성'!$B$2:$B$501,MATCH(A247,'판매구성'!$A$2:$A$501,0)),""))</f>
        <v/>
      </c>
      <c r="D247" s="2">
        <f>IF(C247="","",IFERROR(INDEX('SKU'!$B$2:$B$501,MATCH(C247,'SKU'!$A$2:$A$501,0)),""))</f>
        <v/>
      </c>
      <c r="F247" s="4">
        <f>IF(OR(C247="",E247=""),"",E247*N(IFERROR(INDEX('SKU'!$E$2:$E$501,MATCH(C247,'SKU'!$A$2:$A$501,0)),"")))</f>
        <v/>
      </c>
    </row>
    <row r="248">
      <c r="B248" s="2">
        <f>IF(A248="","",IFERROR(INDEX('판매구성'!$B$2:$B$501,MATCH(A248,'판매구성'!$A$2:$A$501,0)),""))</f>
        <v/>
      </c>
      <c r="D248" s="2">
        <f>IF(C248="","",IFERROR(INDEX('SKU'!$B$2:$B$501,MATCH(C248,'SKU'!$A$2:$A$501,0)),""))</f>
        <v/>
      </c>
      <c r="F248" s="4">
        <f>IF(OR(C248="",E248=""),"",E248*N(IFERROR(INDEX('SKU'!$E$2:$E$501,MATCH(C248,'SKU'!$A$2:$A$501,0)),"")))</f>
        <v/>
      </c>
    </row>
    <row r="249">
      <c r="B249" s="2">
        <f>IF(A249="","",IFERROR(INDEX('판매구성'!$B$2:$B$501,MATCH(A249,'판매구성'!$A$2:$A$501,0)),""))</f>
        <v/>
      </c>
      <c r="D249" s="2">
        <f>IF(C249="","",IFERROR(INDEX('SKU'!$B$2:$B$501,MATCH(C249,'SKU'!$A$2:$A$501,0)),""))</f>
        <v/>
      </c>
      <c r="F249" s="4">
        <f>IF(OR(C249="",E249=""),"",E249*N(IFERROR(INDEX('SKU'!$E$2:$E$501,MATCH(C249,'SKU'!$A$2:$A$501,0)),"")))</f>
        <v/>
      </c>
    </row>
    <row r="250">
      <c r="B250" s="2">
        <f>IF(A250="","",IFERROR(INDEX('판매구성'!$B$2:$B$501,MATCH(A250,'판매구성'!$A$2:$A$501,0)),""))</f>
        <v/>
      </c>
      <c r="D250" s="2">
        <f>IF(C250="","",IFERROR(INDEX('SKU'!$B$2:$B$501,MATCH(C250,'SKU'!$A$2:$A$501,0)),""))</f>
        <v/>
      </c>
      <c r="F250" s="4">
        <f>IF(OR(C250="",E250=""),"",E250*N(IFERROR(INDEX('SKU'!$E$2:$E$501,MATCH(C250,'SKU'!$A$2:$A$501,0)),"")))</f>
        <v/>
      </c>
    </row>
    <row r="251">
      <c r="B251" s="2">
        <f>IF(A251="","",IFERROR(INDEX('판매구성'!$B$2:$B$501,MATCH(A251,'판매구성'!$A$2:$A$501,0)),""))</f>
        <v/>
      </c>
      <c r="D251" s="2">
        <f>IF(C251="","",IFERROR(INDEX('SKU'!$B$2:$B$501,MATCH(C251,'SKU'!$A$2:$A$501,0)),""))</f>
        <v/>
      </c>
      <c r="F251" s="4">
        <f>IF(OR(C251="",E251=""),"",E251*N(IFERROR(INDEX('SKU'!$E$2:$E$501,MATCH(C251,'SKU'!$A$2:$A$501,0)),"")))</f>
        <v/>
      </c>
    </row>
    <row r="252">
      <c r="B252" s="2">
        <f>IF(A252="","",IFERROR(INDEX('판매구성'!$B$2:$B$501,MATCH(A252,'판매구성'!$A$2:$A$501,0)),""))</f>
        <v/>
      </c>
      <c r="D252" s="2">
        <f>IF(C252="","",IFERROR(INDEX('SKU'!$B$2:$B$501,MATCH(C252,'SKU'!$A$2:$A$501,0)),""))</f>
        <v/>
      </c>
      <c r="F252" s="4">
        <f>IF(OR(C252="",E252=""),"",E252*N(IFERROR(INDEX('SKU'!$E$2:$E$501,MATCH(C252,'SKU'!$A$2:$A$501,0)),"")))</f>
        <v/>
      </c>
    </row>
    <row r="253">
      <c r="B253" s="2">
        <f>IF(A253="","",IFERROR(INDEX('판매구성'!$B$2:$B$501,MATCH(A253,'판매구성'!$A$2:$A$501,0)),""))</f>
        <v/>
      </c>
      <c r="D253" s="2">
        <f>IF(C253="","",IFERROR(INDEX('SKU'!$B$2:$B$501,MATCH(C253,'SKU'!$A$2:$A$501,0)),""))</f>
        <v/>
      </c>
      <c r="F253" s="4">
        <f>IF(OR(C253="",E253=""),"",E253*N(IFERROR(INDEX('SKU'!$E$2:$E$501,MATCH(C253,'SKU'!$A$2:$A$501,0)),"")))</f>
        <v/>
      </c>
    </row>
    <row r="254">
      <c r="B254" s="2">
        <f>IF(A254="","",IFERROR(INDEX('판매구성'!$B$2:$B$501,MATCH(A254,'판매구성'!$A$2:$A$501,0)),""))</f>
        <v/>
      </c>
      <c r="D254" s="2">
        <f>IF(C254="","",IFERROR(INDEX('SKU'!$B$2:$B$501,MATCH(C254,'SKU'!$A$2:$A$501,0)),""))</f>
        <v/>
      </c>
      <c r="F254" s="4">
        <f>IF(OR(C254="",E254=""),"",E254*N(IFERROR(INDEX('SKU'!$E$2:$E$501,MATCH(C254,'SKU'!$A$2:$A$501,0)),"")))</f>
        <v/>
      </c>
    </row>
    <row r="255">
      <c r="B255" s="2">
        <f>IF(A255="","",IFERROR(INDEX('판매구성'!$B$2:$B$501,MATCH(A255,'판매구성'!$A$2:$A$501,0)),""))</f>
        <v/>
      </c>
      <c r="D255" s="2">
        <f>IF(C255="","",IFERROR(INDEX('SKU'!$B$2:$B$501,MATCH(C255,'SKU'!$A$2:$A$501,0)),""))</f>
        <v/>
      </c>
      <c r="F255" s="4">
        <f>IF(OR(C255="",E255=""),"",E255*N(IFERROR(INDEX('SKU'!$E$2:$E$501,MATCH(C255,'SKU'!$A$2:$A$501,0)),"")))</f>
        <v/>
      </c>
    </row>
    <row r="256">
      <c r="B256" s="2">
        <f>IF(A256="","",IFERROR(INDEX('판매구성'!$B$2:$B$501,MATCH(A256,'판매구성'!$A$2:$A$501,0)),""))</f>
        <v/>
      </c>
      <c r="D256" s="2">
        <f>IF(C256="","",IFERROR(INDEX('SKU'!$B$2:$B$501,MATCH(C256,'SKU'!$A$2:$A$501,0)),""))</f>
        <v/>
      </c>
      <c r="F256" s="4">
        <f>IF(OR(C256="",E256=""),"",E256*N(IFERROR(INDEX('SKU'!$E$2:$E$501,MATCH(C256,'SKU'!$A$2:$A$501,0)),"")))</f>
        <v/>
      </c>
    </row>
    <row r="257">
      <c r="B257" s="2">
        <f>IF(A257="","",IFERROR(INDEX('판매구성'!$B$2:$B$501,MATCH(A257,'판매구성'!$A$2:$A$501,0)),""))</f>
        <v/>
      </c>
      <c r="D257" s="2">
        <f>IF(C257="","",IFERROR(INDEX('SKU'!$B$2:$B$501,MATCH(C257,'SKU'!$A$2:$A$501,0)),""))</f>
        <v/>
      </c>
      <c r="F257" s="4">
        <f>IF(OR(C257="",E257=""),"",E257*N(IFERROR(INDEX('SKU'!$E$2:$E$501,MATCH(C257,'SKU'!$A$2:$A$501,0)),"")))</f>
        <v/>
      </c>
    </row>
    <row r="258">
      <c r="B258" s="2">
        <f>IF(A258="","",IFERROR(INDEX('판매구성'!$B$2:$B$501,MATCH(A258,'판매구성'!$A$2:$A$501,0)),""))</f>
        <v/>
      </c>
      <c r="D258" s="2">
        <f>IF(C258="","",IFERROR(INDEX('SKU'!$B$2:$B$501,MATCH(C258,'SKU'!$A$2:$A$501,0)),""))</f>
        <v/>
      </c>
      <c r="F258" s="4">
        <f>IF(OR(C258="",E258=""),"",E258*N(IFERROR(INDEX('SKU'!$E$2:$E$501,MATCH(C258,'SKU'!$A$2:$A$501,0)),"")))</f>
        <v/>
      </c>
    </row>
    <row r="259">
      <c r="B259" s="2">
        <f>IF(A259="","",IFERROR(INDEX('판매구성'!$B$2:$B$501,MATCH(A259,'판매구성'!$A$2:$A$501,0)),""))</f>
        <v/>
      </c>
      <c r="D259" s="2">
        <f>IF(C259="","",IFERROR(INDEX('SKU'!$B$2:$B$501,MATCH(C259,'SKU'!$A$2:$A$501,0)),""))</f>
        <v/>
      </c>
      <c r="F259" s="4">
        <f>IF(OR(C259="",E259=""),"",E259*N(IFERROR(INDEX('SKU'!$E$2:$E$501,MATCH(C259,'SKU'!$A$2:$A$501,0)),"")))</f>
        <v/>
      </c>
    </row>
    <row r="260">
      <c r="B260" s="2">
        <f>IF(A260="","",IFERROR(INDEX('판매구성'!$B$2:$B$501,MATCH(A260,'판매구성'!$A$2:$A$501,0)),""))</f>
        <v/>
      </c>
      <c r="D260" s="2">
        <f>IF(C260="","",IFERROR(INDEX('SKU'!$B$2:$B$501,MATCH(C260,'SKU'!$A$2:$A$501,0)),""))</f>
        <v/>
      </c>
      <c r="F260" s="4">
        <f>IF(OR(C260="",E260=""),"",E260*N(IFERROR(INDEX('SKU'!$E$2:$E$501,MATCH(C260,'SKU'!$A$2:$A$501,0)),"")))</f>
        <v/>
      </c>
    </row>
    <row r="261">
      <c r="B261" s="2">
        <f>IF(A261="","",IFERROR(INDEX('판매구성'!$B$2:$B$501,MATCH(A261,'판매구성'!$A$2:$A$501,0)),""))</f>
        <v/>
      </c>
      <c r="D261" s="2">
        <f>IF(C261="","",IFERROR(INDEX('SKU'!$B$2:$B$501,MATCH(C261,'SKU'!$A$2:$A$501,0)),""))</f>
        <v/>
      </c>
      <c r="F261" s="4">
        <f>IF(OR(C261="",E261=""),"",E261*N(IFERROR(INDEX('SKU'!$E$2:$E$501,MATCH(C261,'SKU'!$A$2:$A$501,0)),"")))</f>
        <v/>
      </c>
    </row>
    <row r="262">
      <c r="B262" s="2">
        <f>IF(A262="","",IFERROR(INDEX('판매구성'!$B$2:$B$501,MATCH(A262,'판매구성'!$A$2:$A$501,0)),""))</f>
        <v/>
      </c>
      <c r="D262" s="2">
        <f>IF(C262="","",IFERROR(INDEX('SKU'!$B$2:$B$501,MATCH(C262,'SKU'!$A$2:$A$501,0)),""))</f>
        <v/>
      </c>
      <c r="F262" s="4">
        <f>IF(OR(C262="",E262=""),"",E262*N(IFERROR(INDEX('SKU'!$E$2:$E$501,MATCH(C262,'SKU'!$A$2:$A$501,0)),"")))</f>
        <v/>
      </c>
    </row>
    <row r="263">
      <c r="B263" s="2">
        <f>IF(A263="","",IFERROR(INDEX('판매구성'!$B$2:$B$501,MATCH(A263,'판매구성'!$A$2:$A$501,0)),""))</f>
        <v/>
      </c>
      <c r="D263" s="2">
        <f>IF(C263="","",IFERROR(INDEX('SKU'!$B$2:$B$501,MATCH(C263,'SKU'!$A$2:$A$501,0)),""))</f>
        <v/>
      </c>
      <c r="F263" s="4">
        <f>IF(OR(C263="",E263=""),"",E263*N(IFERROR(INDEX('SKU'!$E$2:$E$501,MATCH(C263,'SKU'!$A$2:$A$501,0)),"")))</f>
        <v/>
      </c>
    </row>
    <row r="264">
      <c r="B264" s="2">
        <f>IF(A264="","",IFERROR(INDEX('판매구성'!$B$2:$B$501,MATCH(A264,'판매구성'!$A$2:$A$501,0)),""))</f>
        <v/>
      </c>
      <c r="D264" s="2">
        <f>IF(C264="","",IFERROR(INDEX('SKU'!$B$2:$B$501,MATCH(C264,'SKU'!$A$2:$A$501,0)),""))</f>
        <v/>
      </c>
      <c r="F264" s="4">
        <f>IF(OR(C264="",E264=""),"",E264*N(IFERROR(INDEX('SKU'!$E$2:$E$501,MATCH(C264,'SKU'!$A$2:$A$501,0)),"")))</f>
        <v/>
      </c>
    </row>
    <row r="265">
      <c r="B265" s="2">
        <f>IF(A265="","",IFERROR(INDEX('판매구성'!$B$2:$B$501,MATCH(A265,'판매구성'!$A$2:$A$501,0)),""))</f>
        <v/>
      </c>
      <c r="D265" s="2">
        <f>IF(C265="","",IFERROR(INDEX('SKU'!$B$2:$B$501,MATCH(C265,'SKU'!$A$2:$A$501,0)),""))</f>
        <v/>
      </c>
      <c r="F265" s="4">
        <f>IF(OR(C265="",E265=""),"",E265*N(IFERROR(INDEX('SKU'!$E$2:$E$501,MATCH(C265,'SKU'!$A$2:$A$501,0)),"")))</f>
        <v/>
      </c>
    </row>
    <row r="266">
      <c r="B266" s="2">
        <f>IF(A266="","",IFERROR(INDEX('판매구성'!$B$2:$B$501,MATCH(A266,'판매구성'!$A$2:$A$501,0)),""))</f>
        <v/>
      </c>
      <c r="D266" s="2">
        <f>IF(C266="","",IFERROR(INDEX('SKU'!$B$2:$B$501,MATCH(C266,'SKU'!$A$2:$A$501,0)),""))</f>
        <v/>
      </c>
      <c r="F266" s="4">
        <f>IF(OR(C266="",E266=""),"",E266*N(IFERROR(INDEX('SKU'!$E$2:$E$501,MATCH(C266,'SKU'!$A$2:$A$501,0)),"")))</f>
        <v/>
      </c>
    </row>
    <row r="267">
      <c r="B267" s="2">
        <f>IF(A267="","",IFERROR(INDEX('판매구성'!$B$2:$B$501,MATCH(A267,'판매구성'!$A$2:$A$501,0)),""))</f>
        <v/>
      </c>
      <c r="D267" s="2">
        <f>IF(C267="","",IFERROR(INDEX('SKU'!$B$2:$B$501,MATCH(C267,'SKU'!$A$2:$A$501,0)),""))</f>
        <v/>
      </c>
      <c r="F267" s="4">
        <f>IF(OR(C267="",E267=""),"",E267*N(IFERROR(INDEX('SKU'!$E$2:$E$501,MATCH(C267,'SKU'!$A$2:$A$501,0)),"")))</f>
        <v/>
      </c>
    </row>
    <row r="268">
      <c r="B268" s="2">
        <f>IF(A268="","",IFERROR(INDEX('판매구성'!$B$2:$B$501,MATCH(A268,'판매구성'!$A$2:$A$501,0)),""))</f>
        <v/>
      </c>
      <c r="D268" s="2">
        <f>IF(C268="","",IFERROR(INDEX('SKU'!$B$2:$B$501,MATCH(C268,'SKU'!$A$2:$A$501,0)),""))</f>
        <v/>
      </c>
      <c r="F268" s="4">
        <f>IF(OR(C268="",E268=""),"",E268*N(IFERROR(INDEX('SKU'!$E$2:$E$501,MATCH(C268,'SKU'!$A$2:$A$501,0)),"")))</f>
        <v/>
      </c>
    </row>
    <row r="269">
      <c r="B269" s="2">
        <f>IF(A269="","",IFERROR(INDEX('판매구성'!$B$2:$B$501,MATCH(A269,'판매구성'!$A$2:$A$501,0)),""))</f>
        <v/>
      </c>
      <c r="D269" s="2">
        <f>IF(C269="","",IFERROR(INDEX('SKU'!$B$2:$B$501,MATCH(C269,'SKU'!$A$2:$A$501,0)),""))</f>
        <v/>
      </c>
      <c r="F269" s="4">
        <f>IF(OR(C269="",E269=""),"",E269*N(IFERROR(INDEX('SKU'!$E$2:$E$501,MATCH(C269,'SKU'!$A$2:$A$501,0)),"")))</f>
        <v/>
      </c>
    </row>
    <row r="270">
      <c r="B270" s="2">
        <f>IF(A270="","",IFERROR(INDEX('판매구성'!$B$2:$B$501,MATCH(A270,'판매구성'!$A$2:$A$501,0)),""))</f>
        <v/>
      </c>
      <c r="D270" s="2">
        <f>IF(C270="","",IFERROR(INDEX('SKU'!$B$2:$B$501,MATCH(C270,'SKU'!$A$2:$A$501,0)),""))</f>
        <v/>
      </c>
      <c r="F270" s="4">
        <f>IF(OR(C270="",E270=""),"",E270*N(IFERROR(INDEX('SKU'!$E$2:$E$501,MATCH(C270,'SKU'!$A$2:$A$501,0)),"")))</f>
        <v/>
      </c>
    </row>
    <row r="271">
      <c r="B271" s="2">
        <f>IF(A271="","",IFERROR(INDEX('판매구성'!$B$2:$B$501,MATCH(A271,'판매구성'!$A$2:$A$501,0)),""))</f>
        <v/>
      </c>
      <c r="D271" s="2">
        <f>IF(C271="","",IFERROR(INDEX('SKU'!$B$2:$B$501,MATCH(C271,'SKU'!$A$2:$A$501,0)),""))</f>
        <v/>
      </c>
      <c r="F271" s="4">
        <f>IF(OR(C271="",E271=""),"",E271*N(IFERROR(INDEX('SKU'!$E$2:$E$501,MATCH(C271,'SKU'!$A$2:$A$501,0)),"")))</f>
        <v/>
      </c>
    </row>
    <row r="272">
      <c r="B272" s="2">
        <f>IF(A272="","",IFERROR(INDEX('판매구성'!$B$2:$B$501,MATCH(A272,'판매구성'!$A$2:$A$501,0)),""))</f>
        <v/>
      </c>
      <c r="D272" s="2">
        <f>IF(C272="","",IFERROR(INDEX('SKU'!$B$2:$B$501,MATCH(C272,'SKU'!$A$2:$A$501,0)),""))</f>
        <v/>
      </c>
      <c r="F272" s="4">
        <f>IF(OR(C272="",E272=""),"",E272*N(IFERROR(INDEX('SKU'!$E$2:$E$501,MATCH(C272,'SKU'!$A$2:$A$501,0)),"")))</f>
        <v/>
      </c>
    </row>
    <row r="273">
      <c r="B273" s="2">
        <f>IF(A273="","",IFERROR(INDEX('판매구성'!$B$2:$B$501,MATCH(A273,'판매구성'!$A$2:$A$501,0)),""))</f>
        <v/>
      </c>
      <c r="D273" s="2">
        <f>IF(C273="","",IFERROR(INDEX('SKU'!$B$2:$B$501,MATCH(C273,'SKU'!$A$2:$A$501,0)),""))</f>
        <v/>
      </c>
      <c r="F273" s="4">
        <f>IF(OR(C273="",E273=""),"",E273*N(IFERROR(INDEX('SKU'!$E$2:$E$501,MATCH(C273,'SKU'!$A$2:$A$501,0)),"")))</f>
        <v/>
      </c>
    </row>
    <row r="274">
      <c r="B274" s="2">
        <f>IF(A274="","",IFERROR(INDEX('판매구성'!$B$2:$B$501,MATCH(A274,'판매구성'!$A$2:$A$501,0)),""))</f>
        <v/>
      </c>
      <c r="D274" s="2">
        <f>IF(C274="","",IFERROR(INDEX('SKU'!$B$2:$B$501,MATCH(C274,'SKU'!$A$2:$A$501,0)),""))</f>
        <v/>
      </c>
      <c r="F274" s="4">
        <f>IF(OR(C274="",E274=""),"",E274*N(IFERROR(INDEX('SKU'!$E$2:$E$501,MATCH(C274,'SKU'!$A$2:$A$501,0)),"")))</f>
        <v/>
      </c>
    </row>
    <row r="275">
      <c r="B275" s="2">
        <f>IF(A275="","",IFERROR(INDEX('판매구성'!$B$2:$B$501,MATCH(A275,'판매구성'!$A$2:$A$501,0)),""))</f>
        <v/>
      </c>
      <c r="D275" s="2">
        <f>IF(C275="","",IFERROR(INDEX('SKU'!$B$2:$B$501,MATCH(C275,'SKU'!$A$2:$A$501,0)),""))</f>
        <v/>
      </c>
      <c r="F275" s="4">
        <f>IF(OR(C275="",E275=""),"",E275*N(IFERROR(INDEX('SKU'!$E$2:$E$501,MATCH(C275,'SKU'!$A$2:$A$501,0)),"")))</f>
        <v/>
      </c>
    </row>
    <row r="276">
      <c r="B276" s="2">
        <f>IF(A276="","",IFERROR(INDEX('판매구성'!$B$2:$B$501,MATCH(A276,'판매구성'!$A$2:$A$501,0)),""))</f>
        <v/>
      </c>
      <c r="D276" s="2">
        <f>IF(C276="","",IFERROR(INDEX('SKU'!$B$2:$B$501,MATCH(C276,'SKU'!$A$2:$A$501,0)),""))</f>
        <v/>
      </c>
      <c r="F276" s="4">
        <f>IF(OR(C276="",E276=""),"",E276*N(IFERROR(INDEX('SKU'!$E$2:$E$501,MATCH(C276,'SKU'!$A$2:$A$501,0)),"")))</f>
        <v/>
      </c>
    </row>
    <row r="277">
      <c r="B277" s="2">
        <f>IF(A277="","",IFERROR(INDEX('판매구성'!$B$2:$B$501,MATCH(A277,'판매구성'!$A$2:$A$501,0)),""))</f>
        <v/>
      </c>
      <c r="D277" s="2">
        <f>IF(C277="","",IFERROR(INDEX('SKU'!$B$2:$B$501,MATCH(C277,'SKU'!$A$2:$A$501,0)),""))</f>
        <v/>
      </c>
      <c r="F277" s="4">
        <f>IF(OR(C277="",E277=""),"",E277*N(IFERROR(INDEX('SKU'!$E$2:$E$501,MATCH(C277,'SKU'!$A$2:$A$501,0)),"")))</f>
        <v/>
      </c>
    </row>
    <row r="278">
      <c r="B278" s="2">
        <f>IF(A278="","",IFERROR(INDEX('판매구성'!$B$2:$B$501,MATCH(A278,'판매구성'!$A$2:$A$501,0)),""))</f>
        <v/>
      </c>
      <c r="D278" s="2">
        <f>IF(C278="","",IFERROR(INDEX('SKU'!$B$2:$B$501,MATCH(C278,'SKU'!$A$2:$A$501,0)),""))</f>
        <v/>
      </c>
      <c r="F278" s="4">
        <f>IF(OR(C278="",E278=""),"",E278*N(IFERROR(INDEX('SKU'!$E$2:$E$501,MATCH(C278,'SKU'!$A$2:$A$501,0)),"")))</f>
        <v/>
      </c>
    </row>
    <row r="279">
      <c r="B279" s="2">
        <f>IF(A279="","",IFERROR(INDEX('판매구성'!$B$2:$B$501,MATCH(A279,'판매구성'!$A$2:$A$501,0)),""))</f>
        <v/>
      </c>
      <c r="D279" s="2">
        <f>IF(C279="","",IFERROR(INDEX('SKU'!$B$2:$B$501,MATCH(C279,'SKU'!$A$2:$A$501,0)),""))</f>
        <v/>
      </c>
      <c r="F279" s="4">
        <f>IF(OR(C279="",E279=""),"",E279*N(IFERROR(INDEX('SKU'!$E$2:$E$501,MATCH(C279,'SKU'!$A$2:$A$501,0)),"")))</f>
        <v/>
      </c>
    </row>
    <row r="280">
      <c r="B280" s="2">
        <f>IF(A280="","",IFERROR(INDEX('판매구성'!$B$2:$B$501,MATCH(A280,'판매구성'!$A$2:$A$501,0)),""))</f>
        <v/>
      </c>
      <c r="D280" s="2">
        <f>IF(C280="","",IFERROR(INDEX('SKU'!$B$2:$B$501,MATCH(C280,'SKU'!$A$2:$A$501,0)),""))</f>
        <v/>
      </c>
      <c r="F280" s="4">
        <f>IF(OR(C280="",E280=""),"",E280*N(IFERROR(INDEX('SKU'!$E$2:$E$501,MATCH(C280,'SKU'!$A$2:$A$501,0)),"")))</f>
        <v/>
      </c>
    </row>
    <row r="281">
      <c r="B281" s="2">
        <f>IF(A281="","",IFERROR(INDEX('판매구성'!$B$2:$B$501,MATCH(A281,'판매구성'!$A$2:$A$501,0)),""))</f>
        <v/>
      </c>
      <c r="D281" s="2">
        <f>IF(C281="","",IFERROR(INDEX('SKU'!$B$2:$B$501,MATCH(C281,'SKU'!$A$2:$A$501,0)),""))</f>
        <v/>
      </c>
      <c r="F281" s="4">
        <f>IF(OR(C281="",E281=""),"",E281*N(IFERROR(INDEX('SKU'!$E$2:$E$501,MATCH(C281,'SKU'!$A$2:$A$501,0)),"")))</f>
        <v/>
      </c>
    </row>
    <row r="282">
      <c r="B282" s="2">
        <f>IF(A282="","",IFERROR(INDEX('판매구성'!$B$2:$B$501,MATCH(A282,'판매구성'!$A$2:$A$501,0)),""))</f>
        <v/>
      </c>
      <c r="D282" s="2">
        <f>IF(C282="","",IFERROR(INDEX('SKU'!$B$2:$B$501,MATCH(C282,'SKU'!$A$2:$A$501,0)),""))</f>
        <v/>
      </c>
      <c r="F282" s="4">
        <f>IF(OR(C282="",E282=""),"",E282*N(IFERROR(INDEX('SKU'!$E$2:$E$501,MATCH(C282,'SKU'!$A$2:$A$501,0)),"")))</f>
        <v/>
      </c>
    </row>
    <row r="283">
      <c r="B283" s="2">
        <f>IF(A283="","",IFERROR(INDEX('판매구성'!$B$2:$B$501,MATCH(A283,'판매구성'!$A$2:$A$501,0)),""))</f>
        <v/>
      </c>
      <c r="D283" s="2">
        <f>IF(C283="","",IFERROR(INDEX('SKU'!$B$2:$B$501,MATCH(C283,'SKU'!$A$2:$A$501,0)),""))</f>
        <v/>
      </c>
      <c r="F283" s="4">
        <f>IF(OR(C283="",E283=""),"",E283*N(IFERROR(INDEX('SKU'!$E$2:$E$501,MATCH(C283,'SKU'!$A$2:$A$501,0)),"")))</f>
        <v/>
      </c>
    </row>
    <row r="284">
      <c r="B284" s="2">
        <f>IF(A284="","",IFERROR(INDEX('판매구성'!$B$2:$B$501,MATCH(A284,'판매구성'!$A$2:$A$501,0)),""))</f>
        <v/>
      </c>
      <c r="D284" s="2">
        <f>IF(C284="","",IFERROR(INDEX('SKU'!$B$2:$B$501,MATCH(C284,'SKU'!$A$2:$A$501,0)),""))</f>
        <v/>
      </c>
      <c r="F284" s="4">
        <f>IF(OR(C284="",E284=""),"",E284*N(IFERROR(INDEX('SKU'!$E$2:$E$501,MATCH(C284,'SKU'!$A$2:$A$501,0)),"")))</f>
        <v/>
      </c>
    </row>
    <row r="285">
      <c r="B285" s="2">
        <f>IF(A285="","",IFERROR(INDEX('판매구성'!$B$2:$B$501,MATCH(A285,'판매구성'!$A$2:$A$501,0)),""))</f>
        <v/>
      </c>
      <c r="D285" s="2">
        <f>IF(C285="","",IFERROR(INDEX('SKU'!$B$2:$B$501,MATCH(C285,'SKU'!$A$2:$A$501,0)),""))</f>
        <v/>
      </c>
      <c r="F285" s="4">
        <f>IF(OR(C285="",E285=""),"",E285*N(IFERROR(INDEX('SKU'!$E$2:$E$501,MATCH(C285,'SKU'!$A$2:$A$501,0)),"")))</f>
        <v/>
      </c>
    </row>
    <row r="286">
      <c r="B286" s="2">
        <f>IF(A286="","",IFERROR(INDEX('판매구성'!$B$2:$B$501,MATCH(A286,'판매구성'!$A$2:$A$501,0)),""))</f>
        <v/>
      </c>
      <c r="D286" s="2">
        <f>IF(C286="","",IFERROR(INDEX('SKU'!$B$2:$B$501,MATCH(C286,'SKU'!$A$2:$A$501,0)),""))</f>
        <v/>
      </c>
      <c r="F286" s="4">
        <f>IF(OR(C286="",E286=""),"",E286*N(IFERROR(INDEX('SKU'!$E$2:$E$501,MATCH(C286,'SKU'!$A$2:$A$501,0)),"")))</f>
        <v/>
      </c>
    </row>
    <row r="287">
      <c r="B287" s="2">
        <f>IF(A287="","",IFERROR(INDEX('판매구성'!$B$2:$B$501,MATCH(A287,'판매구성'!$A$2:$A$501,0)),""))</f>
        <v/>
      </c>
      <c r="D287" s="2">
        <f>IF(C287="","",IFERROR(INDEX('SKU'!$B$2:$B$501,MATCH(C287,'SKU'!$A$2:$A$501,0)),""))</f>
        <v/>
      </c>
      <c r="F287" s="4">
        <f>IF(OR(C287="",E287=""),"",E287*N(IFERROR(INDEX('SKU'!$E$2:$E$501,MATCH(C287,'SKU'!$A$2:$A$501,0)),"")))</f>
        <v/>
      </c>
    </row>
    <row r="288">
      <c r="B288" s="2">
        <f>IF(A288="","",IFERROR(INDEX('판매구성'!$B$2:$B$501,MATCH(A288,'판매구성'!$A$2:$A$501,0)),""))</f>
        <v/>
      </c>
      <c r="D288" s="2">
        <f>IF(C288="","",IFERROR(INDEX('SKU'!$B$2:$B$501,MATCH(C288,'SKU'!$A$2:$A$501,0)),""))</f>
        <v/>
      </c>
      <c r="F288" s="4">
        <f>IF(OR(C288="",E288=""),"",E288*N(IFERROR(INDEX('SKU'!$E$2:$E$501,MATCH(C288,'SKU'!$A$2:$A$501,0)),"")))</f>
        <v/>
      </c>
    </row>
    <row r="289">
      <c r="B289" s="2">
        <f>IF(A289="","",IFERROR(INDEX('판매구성'!$B$2:$B$501,MATCH(A289,'판매구성'!$A$2:$A$501,0)),""))</f>
        <v/>
      </c>
      <c r="D289" s="2">
        <f>IF(C289="","",IFERROR(INDEX('SKU'!$B$2:$B$501,MATCH(C289,'SKU'!$A$2:$A$501,0)),""))</f>
        <v/>
      </c>
      <c r="F289" s="4">
        <f>IF(OR(C289="",E289=""),"",E289*N(IFERROR(INDEX('SKU'!$E$2:$E$501,MATCH(C289,'SKU'!$A$2:$A$501,0)),"")))</f>
        <v/>
      </c>
    </row>
    <row r="290">
      <c r="B290" s="2">
        <f>IF(A290="","",IFERROR(INDEX('판매구성'!$B$2:$B$501,MATCH(A290,'판매구성'!$A$2:$A$501,0)),""))</f>
        <v/>
      </c>
      <c r="D290" s="2">
        <f>IF(C290="","",IFERROR(INDEX('SKU'!$B$2:$B$501,MATCH(C290,'SKU'!$A$2:$A$501,0)),""))</f>
        <v/>
      </c>
      <c r="F290" s="4">
        <f>IF(OR(C290="",E290=""),"",E290*N(IFERROR(INDEX('SKU'!$E$2:$E$501,MATCH(C290,'SKU'!$A$2:$A$501,0)),"")))</f>
        <v/>
      </c>
    </row>
    <row r="291">
      <c r="B291" s="2">
        <f>IF(A291="","",IFERROR(INDEX('판매구성'!$B$2:$B$501,MATCH(A291,'판매구성'!$A$2:$A$501,0)),""))</f>
        <v/>
      </c>
      <c r="D291" s="2">
        <f>IF(C291="","",IFERROR(INDEX('SKU'!$B$2:$B$501,MATCH(C291,'SKU'!$A$2:$A$501,0)),""))</f>
        <v/>
      </c>
      <c r="F291" s="4">
        <f>IF(OR(C291="",E291=""),"",E291*N(IFERROR(INDEX('SKU'!$E$2:$E$501,MATCH(C291,'SKU'!$A$2:$A$501,0)),"")))</f>
        <v/>
      </c>
    </row>
    <row r="292">
      <c r="B292" s="2">
        <f>IF(A292="","",IFERROR(INDEX('판매구성'!$B$2:$B$501,MATCH(A292,'판매구성'!$A$2:$A$501,0)),""))</f>
        <v/>
      </c>
      <c r="D292" s="2">
        <f>IF(C292="","",IFERROR(INDEX('SKU'!$B$2:$B$501,MATCH(C292,'SKU'!$A$2:$A$501,0)),""))</f>
        <v/>
      </c>
      <c r="F292" s="4">
        <f>IF(OR(C292="",E292=""),"",E292*N(IFERROR(INDEX('SKU'!$E$2:$E$501,MATCH(C292,'SKU'!$A$2:$A$501,0)),"")))</f>
        <v/>
      </c>
    </row>
    <row r="293">
      <c r="B293" s="2">
        <f>IF(A293="","",IFERROR(INDEX('판매구성'!$B$2:$B$501,MATCH(A293,'판매구성'!$A$2:$A$501,0)),""))</f>
        <v/>
      </c>
      <c r="D293" s="2">
        <f>IF(C293="","",IFERROR(INDEX('SKU'!$B$2:$B$501,MATCH(C293,'SKU'!$A$2:$A$501,0)),""))</f>
        <v/>
      </c>
      <c r="F293" s="4">
        <f>IF(OR(C293="",E293=""),"",E293*N(IFERROR(INDEX('SKU'!$E$2:$E$501,MATCH(C293,'SKU'!$A$2:$A$501,0)),"")))</f>
        <v/>
      </c>
    </row>
    <row r="294">
      <c r="B294" s="2">
        <f>IF(A294="","",IFERROR(INDEX('판매구성'!$B$2:$B$501,MATCH(A294,'판매구성'!$A$2:$A$501,0)),""))</f>
        <v/>
      </c>
      <c r="D294" s="2">
        <f>IF(C294="","",IFERROR(INDEX('SKU'!$B$2:$B$501,MATCH(C294,'SKU'!$A$2:$A$501,0)),""))</f>
        <v/>
      </c>
      <c r="F294" s="4">
        <f>IF(OR(C294="",E294=""),"",E294*N(IFERROR(INDEX('SKU'!$E$2:$E$501,MATCH(C294,'SKU'!$A$2:$A$501,0)),"")))</f>
        <v/>
      </c>
    </row>
    <row r="295">
      <c r="B295" s="2">
        <f>IF(A295="","",IFERROR(INDEX('판매구성'!$B$2:$B$501,MATCH(A295,'판매구성'!$A$2:$A$501,0)),""))</f>
        <v/>
      </c>
      <c r="D295" s="2">
        <f>IF(C295="","",IFERROR(INDEX('SKU'!$B$2:$B$501,MATCH(C295,'SKU'!$A$2:$A$501,0)),""))</f>
        <v/>
      </c>
      <c r="F295" s="4">
        <f>IF(OR(C295="",E295=""),"",E295*N(IFERROR(INDEX('SKU'!$E$2:$E$501,MATCH(C295,'SKU'!$A$2:$A$501,0)),"")))</f>
        <v/>
      </c>
    </row>
    <row r="296">
      <c r="B296" s="2">
        <f>IF(A296="","",IFERROR(INDEX('판매구성'!$B$2:$B$501,MATCH(A296,'판매구성'!$A$2:$A$501,0)),""))</f>
        <v/>
      </c>
      <c r="D296" s="2">
        <f>IF(C296="","",IFERROR(INDEX('SKU'!$B$2:$B$501,MATCH(C296,'SKU'!$A$2:$A$501,0)),""))</f>
        <v/>
      </c>
      <c r="F296" s="4">
        <f>IF(OR(C296="",E296=""),"",E296*N(IFERROR(INDEX('SKU'!$E$2:$E$501,MATCH(C296,'SKU'!$A$2:$A$501,0)),"")))</f>
        <v/>
      </c>
    </row>
    <row r="297">
      <c r="B297" s="2">
        <f>IF(A297="","",IFERROR(INDEX('판매구성'!$B$2:$B$501,MATCH(A297,'판매구성'!$A$2:$A$501,0)),""))</f>
        <v/>
      </c>
      <c r="D297" s="2">
        <f>IF(C297="","",IFERROR(INDEX('SKU'!$B$2:$B$501,MATCH(C297,'SKU'!$A$2:$A$501,0)),""))</f>
        <v/>
      </c>
      <c r="F297" s="4">
        <f>IF(OR(C297="",E297=""),"",E297*N(IFERROR(INDEX('SKU'!$E$2:$E$501,MATCH(C297,'SKU'!$A$2:$A$501,0)),"")))</f>
        <v/>
      </c>
    </row>
    <row r="298">
      <c r="B298" s="2">
        <f>IF(A298="","",IFERROR(INDEX('판매구성'!$B$2:$B$501,MATCH(A298,'판매구성'!$A$2:$A$501,0)),""))</f>
        <v/>
      </c>
      <c r="D298" s="2">
        <f>IF(C298="","",IFERROR(INDEX('SKU'!$B$2:$B$501,MATCH(C298,'SKU'!$A$2:$A$501,0)),""))</f>
        <v/>
      </c>
      <c r="F298" s="4">
        <f>IF(OR(C298="",E298=""),"",E298*N(IFERROR(INDEX('SKU'!$E$2:$E$501,MATCH(C298,'SKU'!$A$2:$A$501,0)),"")))</f>
        <v/>
      </c>
    </row>
    <row r="299">
      <c r="B299" s="2">
        <f>IF(A299="","",IFERROR(INDEX('판매구성'!$B$2:$B$501,MATCH(A299,'판매구성'!$A$2:$A$501,0)),""))</f>
        <v/>
      </c>
      <c r="D299" s="2">
        <f>IF(C299="","",IFERROR(INDEX('SKU'!$B$2:$B$501,MATCH(C299,'SKU'!$A$2:$A$501,0)),""))</f>
        <v/>
      </c>
      <c r="F299" s="4">
        <f>IF(OR(C299="",E299=""),"",E299*N(IFERROR(INDEX('SKU'!$E$2:$E$501,MATCH(C299,'SKU'!$A$2:$A$501,0)),"")))</f>
        <v/>
      </c>
    </row>
    <row r="300">
      <c r="B300" s="2">
        <f>IF(A300="","",IFERROR(INDEX('판매구성'!$B$2:$B$501,MATCH(A300,'판매구성'!$A$2:$A$501,0)),""))</f>
        <v/>
      </c>
      <c r="D300" s="2">
        <f>IF(C300="","",IFERROR(INDEX('SKU'!$B$2:$B$501,MATCH(C300,'SKU'!$A$2:$A$501,0)),""))</f>
        <v/>
      </c>
      <c r="F300" s="4">
        <f>IF(OR(C300="",E300=""),"",E300*N(IFERROR(INDEX('SKU'!$E$2:$E$501,MATCH(C300,'SKU'!$A$2:$A$501,0)),"")))</f>
        <v/>
      </c>
    </row>
    <row r="301">
      <c r="B301" s="2">
        <f>IF(A301="","",IFERROR(INDEX('판매구성'!$B$2:$B$501,MATCH(A301,'판매구성'!$A$2:$A$501,0)),""))</f>
        <v/>
      </c>
      <c r="D301" s="2">
        <f>IF(C301="","",IFERROR(INDEX('SKU'!$B$2:$B$501,MATCH(C301,'SKU'!$A$2:$A$501,0)),""))</f>
        <v/>
      </c>
      <c r="F301" s="4">
        <f>IF(OR(C301="",E301=""),"",E301*N(IFERROR(INDEX('SKU'!$E$2:$E$501,MATCH(C301,'SKU'!$A$2:$A$501,0)),"")))</f>
        <v/>
      </c>
    </row>
    <row r="302">
      <c r="B302" s="2">
        <f>IF(A302="","",IFERROR(INDEX('판매구성'!$B$2:$B$501,MATCH(A302,'판매구성'!$A$2:$A$501,0)),""))</f>
        <v/>
      </c>
      <c r="D302" s="2">
        <f>IF(C302="","",IFERROR(INDEX('SKU'!$B$2:$B$501,MATCH(C302,'SKU'!$A$2:$A$501,0)),""))</f>
        <v/>
      </c>
      <c r="F302" s="4">
        <f>IF(OR(C302="",E302=""),"",E302*N(IFERROR(INDEX('SKU'!$E$2:$E$501,MATCH(C302,'SKU'!$A$2:$A$501,0)),"")))</f>
        <v/>
      </c>
    </row>
    <row r="303">
      <c r="B303" s="2">
        <f>IF(A303="","",IFERROR(INDEX('판매구성'!$B$2:$B$501,MATCH(A303,'판매구성'!$A$2:$A$501,0)),""))</f>
        <v/>
      </c>
      <c r="D303" s="2">
        <f>IF(C303="","",IFERROR(INDEX('SKU'!$B$2:$B$501,MATCH(C303,'SKU'!$A$2:$A$501,0)),""))</f>
        <v/>
      </c>
      <c r="F303" s="4">
        <f>IF(OR(C303="",E303=""),"",E303*N(IFERROR(INDEX('SKU'!$E$2:$E$501,MATCH(C303,'SKU'!$A$2:$A$501,0)),"")))</f>
        <v/>
      </c>
    </row>
    <row r="304">
      <c r="B304" s="2">
        <f>IF(A304="","",IFERROR(INDEX('판매구성'!$B$2:$B$501,MATCH(A304,'판매구성'!$A$2:$A$501,0)),""))</f>
        <v/>
      </c>
      <c r="D304" s="2">
        <f>IF(C304="","",IFERROR(INDEX('SKU'!$B$2:$B$501,MATCH(C304,'SKU'!$A$2:$A$501,0)),""))</f>
        <v/>
      </c>
      <c r="F304" s="4">
        <f>IF(OR(C304="",E304=""),"",E304*N(IFERROR(INDEX('SKU'!$E$2:$E$501,MATCH(C304,'SKU'!$A$2:$A$501,0)),"")))</f>
        <v/>
      </c>
    </row>
    <row r="305">
      <c r="B305" s="2">
        <f>IF(A305="","",IFERROR(INDEX('판매구성'!$B$2:$B$501,MATCH(A305,'판매구성'!$A$2:$A$501,0)),""))</f>
        <v/>
      </c>
      <c r="D305" s="2">
        <f>IF(C305="","",IFERROR(INDEX('SKU'!$B$2:$B$501,MATCH(C305,'SKU'!$A$2:$A$501,0)),""))</f>
        <v/>
      </c>
      <c r="F305" s="4">
        <f>IF(OR(C305="",E305=""),"",E305*N(IFERROR(INDEX('SKU'!$E$2:$E$501,MATCH(C305,'SKU'!$A$2:$A$501,0)),"")))</f>
        <v/>
      </c>
    </row>
    <row r="306">
      <c r="B306" s="2">
        <f>IF(A306="","",IFERROR(INDEX('판매구성'!$B$2:$B$501,MATCH(A306,'판매구성'!$A$2:$A$501,0)),""))</f>
        <v/>
      </c>
      <c r="D306" s="2">
        <f>IF(C306="","",IFERROR(INDEX('SKU'!$B$2:$B$501,MATCH(C306,'SKU'!$A$2:$A$501,0)),""))</f>
        <v/>
      </c>
      <c r="F306" s="4">
        <f>IF(OR(C306="",E306=""),"",E306*N(IFERROR(INDEX('SKU'!$E$2:$E$501,MATCH(C306,'SKU'!$A$2:$A$501,0)),"")))</f>
        <v/>
      </c>
    </row>
    <row r="307">
      <c r="B307" s="2">
        <f>IF(A307="","",IFERROR(INDEX('판매구성'!$B$2:$B$501,MATCH(A307,'판매구성'!$A$2:$A$501,0)),""))</f>
        <v/>
      </c>
      <c r="D307" s="2">
        <f>IF(C307="","",IFERROR(INDEX('SKU'!$B$2:$B$501,MATCH(C307,'SKU'!$A$2:$A$501,0)),""))</f>
        <v/>
      </c>
      <c r="F307" s="4">
        <f>IF(OR(C307="",E307=""),"",E307*N(IFERROR(INDEX('SKU'!$E$2:$E$501,MATCH(C307,'SKU'!$A$2:$A$501,0)),"")))</f>
        <v/>
      </c>
    </row>
    <row r="308">
      <c r="B308" s="2">
        <f>IF(A308="","",IFERROR(INDEX('판매구성'!$B$2:$B$501,MATCH(A308,'판매구성'!$A$2:$A$501,0)),""))</f>
        <v/>
      </c>
      <c r="D308" s="2">
        <f>IF(C308="","",IFERROR(INDEX('SKU'!$B$2:$B$501,MATCH(C308,'SKU'!$A$2:$A$501,0)),""))</f>
        <v/>
      </c>
      <c r="F308" s="4">
        <f>IF(OR(C308="",E308=""),"",E308*N(IFERROR(INDEX('SKU'!$E$2:$E$501,MATCH(C308,'SKU'!$A$2:$A$501,0)),"")))</f>
        <v/>
      </c>
    </row>
    <row r="309">
      <c r="B309" s="2">
        <f>IF(A309="","",IFERROR(INDEX('판매구성'!$B$2:$B$501,MATCH(A309,'판매구성'!$A$2:$A$501,0)),""))</f>
        <v/>
      </c>
      <c r="D309" s="2">
        <f>IF(C309="","",IFERROR(INDEX('SKU'!$B$2:$B$501,MATCH(C309,'SKU'!$A$2:$A$501,0)),""))</f>
        <v/>
      </c>
      <c r="F309" s="4">
        <f>IF(OR(C309="",E309=""),"",E309*N(IFERROR(INDEX('SKU'!$E$2:$E$501,MATCH(C309,'SKU'!$A$2:$A$501,0)),"")))</f>
        <v/>
      </c>
    </row>
    <row r="310">
      <c r="B310" s="2">
        <f>IF(A310="","",IFERROR(INDEX('판매구성'!$B$2:$B$501,MATCH(A310,'판매구성'!$A$2:$A$501,0)),""))</f>
        <v/>
      </c>
      <c r="D310" s="2">
        <f>IF(C310="","",IFERROR(INDEX('SKU'!$B$2:$B$501,MATCH(C310,'SKU'!$A$2:$A$501,0)),""))</f>
        <v/>
      </c>
      <c r="F310" s="4">
        <f>IF(OR(C310="",E310=""),"",E310*N(IFERROR(INDEX('SKU'!$E$2:$E$501,MATCH(C310,'SKU'!$A$2:$A$501,0)),"")))</f>
        <v/>
      </c>
    </row>
    <row r="311">
      <c r="B311" s="2">
        <f>IF(A311="","",IFERROR(INDEX('판매구성'!$B$2:$B$501,MATCH(A311,'판매구성'!$A$2:$A$501,0)),""))</f>
        <v/>
      </c>
      <c r="D311" s="2">
        <f>IF(C311="","",IFERROR(INDEX('SKU'!$B$2:$B$501,MATCH(C311,'SKU'!$A$2:$A$501,0)),""))</f>
        <v/>
      </c>
      <c r="F311" s="4">
        <f>IF(OR(C311="",E311=""),"",E311*N(IFERROR(INDEX('SKU'!$E$2:$E$501,MATCH(C311,'SKU'!$A$2:$A$501,0)),"")))</f>
        <v/>
      </c>
    </row>
    <row r="312">
      <c r="B312" s="2">
        <f>IF(A312="","",IFERROR(INDEX('판매구성'!$B$2:$B$501,MATCH(A312,'판매구성'!$A$2:$A$501,0)),""))</f>
        <v/>
      </c>
      <c r="D312" s="2">
        <f>IF(C312="","",IFERROR(INDEX('SKU'!$B$2:$B$501,MATCH(C312,'SKU'!$A$2:$A$501,0)),""))</f>
        <v/>
      </c>
      <c r="F312" s="4">
        <f>IF(OR(C312="",E312=""),"",E312*N(IFERROR(INDEX('SKU'!$E$2:$E$501,MATCH(C312,'SKU'!$A$2:$A$501,0)),"")))</f>
        <v/>
      </c>
    </row>
    <row r="313">
      <c r="B313" s="2">
        <f>IF(A313="","",IFERROR(INDEX('판매구성'!$B$2:$B$501,MATCH(A313,'판매구성'!$A$2:$A$501,0)),""))</f>
        <v/>
      </c>
      <c r="D313" s="2">
        <f>IF(C313="","",IFERROR(INDEX('SKU'!$B$2:$B$501,MATCH(C313,'SKU'!$A$2:$A$501,0)),""))</f>
        <v/>
      </c>
      <c r="F313" s="4">
        <f>IF(OR(C313="",E313=""),"",E313*N(IFERROR(INDEX('SKU'!$E$2:$E$501,MATCH(C313,'SKU'!$A$2:$A$501,0)),"")))</f>
        <v/>
      </c>
    </row>
    <row r="314">
      <c r="B314" s="2">
        <f>IF(A314="","",IFERROR(INDEX('판매구성'!$B$2:$B$501,MATCH(A314,'판매구성'!$A$2:$A$501,0)),""))</f>
        <v/>
      </c>
      <c r="D314" s="2">
        <f>IF(C314="","",IFERROR(INDEX('SKU'!$B$2:$B$501,MATCH(C314,'SKU'!$A$2:$A$501,0)),""))</f>
        <v/>
      </c>
      <c r="F314" s="4">
        <f>IF(OR(C314="",E314=""),"",E314*N(IFERROR(INDEX('SKU'!$E$2:$E$501,MATCH(C314,'SKU'!$A$2:$A$501,0)),"")))</f>
        <v/>
      </c>
    </row>
    <row r="315">
      <c r="B315" s="2">
        <f>IF(A315="","",IFERROR(INDEX('판매구성'!$B$2:$B$501,MATCH(A315,'판매구성'!$A$2:$A$501,0)),""))</f>
        <v/>
      </c>
      <c r="D315" s="2">
        <f>IF(C315="","",IFERROR(INDEX('SKU'!$B$2:$B$501,MATCH(C315,'SKU'!$A$2:$A$501,0)),""))</f>
        <v/>
      </c>
      <c r="F315" s="4">
        <f>IF(OR(C315="",E315=""),"",E315*N(IFERROR(INDEX('SKU'!$E$2:$E$501,MATCH(C315,'SKU'!$A$2:$A$501,0)),"")))</f>
        <v/>
      </c>
    </row>
    <row r="316">
      <c r="B316" s="2">
        <f>IF(A316="","",IFERROR(INDEX('판매구성'!$B$2:$B$501,MATCH(A316,'판매구성'!$A$2:$A$501,0)),""))</f>
        <v/>
      </c>
      <c r="D316" s="2">
        <f>IF(C316="","",IFERROR(INDEX('SKU'!$B$2:$B$501,MATCH(C316,'SKU'!$A$2:$A$501,0)),""))</f>
        <v/>
      </c>
      <c r="F316" s="4">
        <f>IF(OR(C316="",E316=""),"",E316*N(IFERROR(INDEX('SKU'!$E$2:$E$501,MATCH(C316,'SKU'!$A$2:$A$501,0)),"")))</f>
        <v/>
      </c>
    </row>
    <row r="317">
      <c r="B317" s="2">
        <f>IF(A317="","",IFERROR(INDEX('판매구성'!$B$2:$B$501,MATCH(A317,'판매구성'!$A$2:$A$501,0)),""))</f>
        <v/>
      </c>
      <c r="D317" s="2">
        <f>IF(C317="","",IFERROR(INDEX('SKU'!$B$2:$B$501,MATCH(C317,'SKU'!$A$2:$A$501,0)),""))</f>
        <v/>
      </c>
      <c r="F317" s="4">
        <f>IF(OR(C317="",E317=""),"",E317*N(IFERROR(INDEX('SKU'!$E$2:$E$501,MATCH(C317,'SKU'!$A$2:$A$501,0)),"")))</f>
        <v/>
      </c>
    </row>
    <row r="318">
      <c r="B318" s="2">
        <f>IF(A318="","",IFERROR(INDEX('판매구성'!$B$2:$B$501,MATCH(A318,'판매구성'!$A$2:$A$501,0)),""))</f>
        <v/>
      </c>
      <c r="D318" s="2">
        <f>IF(C318="","",IFERROR(INDEX('SKU'!$B$2:$B$501,MATCH(C318,'SKU'!$A$2:$A$501,0)),""))</f>
        <v/>
      </c>
      <c r="F318" s="4">
        <f>IF(OR(C318="",E318=""),"",E318*N(IFERROR(INDEX('SKU'!$E$2:$E$501,MATCH(C318,'SKU'!$A$2:$A$501,0)),"")))</f>
        <v/>
      </c>
    </row>
    <row r="319">
      <c r="B319" s="2">
        <f>IF(A319="","",IFERROR(INDEX('판매구성'!$B$2:$B$501,MATCH(A319,'판매구성'!$A$2:$A$501,0)),""))</f>
        <v/>
      </c>
      <c r="D319" s="2">
        <f>IF(C319="","",IFERROR(INDEX('SKU'!$B$2:$B$501,MATCH(C319,'SKU'!$A$2:$A$501,0)),""))</f>
        <v/>
      </c>
      <c r="F319" s="4">
        <f>IF(OR(C319="",E319=""),"",E319*N(IFERROR(INDEX('SKU'!$E$2:$E$501,MATCH(C319,'SKU'!$A$2:$A$501,0)),"")))</f>
        <v/>
      </c>
    </row>
    <row r="320">
      <c r="B320" s="2">
        <f>IF(A320="","",IFERROR(INDEX('판매구성'!$B$2:$B$501,MATCH(A320,'판매구성'!$A$2:$A$501,0)),""))</f>
        <v/>
      </c>
      <c r="D320" s="2">
        <f>IF(C320="","",IFERROR(INDEX('SKU'!$B$2:$B$501,MATCH(C320,'SKU'!$A$2:$A$501,0)),""))</f>
        <v/>
      </c>
      <c r="F320" s="4">
        <f>IF(OR(C320="",E320=""),"",E320*N(IFERROR(INDEX('SKU'!$E$2:$E$501,MATCH(C320,'SKU'!$A$2:$A$501,0)),"")))</f>
        <v/>
      </c>
    </row>
    <row r="321">
      <c r="B321" s="2">
        <f>IF(A321="","",IFERROR(INDEX('판매구성'!$B$2:$B$501,MATCH(A321,'판매구성'!$A$2:$A$501,0)),""))</f>
        <v/>
      </c>
      <c r="D321" s="2">
        <f>IF(C321="","",IFERROR(INDEX('SKU'!$B$2:$B$501,MATCH(C321,'SKU'!$A$2:$A$501,0)),""))</f>
        <v/>
      </c>
      <c r="F321" s="4">
        <f>IF(OR(C321="",E321=""),"",E321*N(IFERROR(INDEX('SKU'!$E$2:$E$501,MATCH(C321,'SKU'!$A$2:$A$501,0)),"")))</f>
        <v/>
      </c>
    </row>
    <row r="322">
      <c r="B322" s="2">
        <f>IF(A322="","",IFERROR(INDEX('판매구성'!$B$2:$B$501,MATCH(A322,'판매구성'!$A$2:$A$501,0)),""))</f>
        <v/>
      </c>
      <c r="D322" s="2">
        <f>IF(C322="","",IFERROR(INDEX('SKU'!$B$2:$B$501,MATCH(C322,'SKU'!$A$2:$A$501,0)),""))</f>
        <v/>
      </c>
      <c r="F322" s="4">
        <f>IF(OR(C322="",E322=""),"",E322*N(IFERROR(INDEX('SKU'!$E$2:$E$501,MATCH(C322,'SKU'!$A$2:$A$501,0)),"")))</f>
        <v/>
      </c>
    </row>
    <row r="323">
      <c r="B323" s="2">
        <f>IF(A323="","",IFERROR(INDEX('판매구성'!$B$2:$B$501,MATCH(A323,'판매구성'!$A$2:$A$501,0)),""))</f>
        <v/>
      </c>
      <c r="D323" s="2">
        <f>IF(C323="","",IFERROR(INDEX('SKU'!$B$2:$B$501,MATCH(C323,'SKU'!$A$2:$A$501,0)),""))</f>
        <v/>
      </c>
      <c r="F323" s="4">
        <f>IF(OR(C323="",E323=""),"",E323*N(IFERROR(INDEX('SKU'!$E$2:$E$501,MATCH(C323,'SKU'!$A$2:$A$501,0)),"")))</f>
        <v/>
      </c>
    </row>
    <row r="324">
      <c r="B324" s="2">
        <f>IF(A324="","",IFERROR(INDEX('판매구성'!$B$2:$B$501,MATCH(A324,'판매구성'!$A$2:$A$501,0)),""))</f>
        <v/>
      </c>
      <c r="D324" s="2">
        <f>IF(C324="","",IFERROR(INDEX('SKU'!$B$2:$B$501,MATCH(C324,'SKU'!$A$2:$A$501,0)),""))</f>
        <v/>
      </c>
      <c r="F324" s="4">
        <f>IF(OR(C324="",E324=""),"",E324*N(IFERROR(INDEX('SKU'!$E$2:$E$501,MATCH(C324,'SKU'!$A$2:$A$501,0)),"")))</f>
        <v/>
      </c>
    </row>
    <row r="325">
      <c r="B325" s="2">
        <f>IF(A325="","",IFERROR(INDEX('판매구성'!$B$2:$B$501,MATCH(A325,'판매구성'!$A$2:$A$501,0)),""))</f>
        <v/>
      </c>
      <c r="D325" s="2">
        <f>IF(C325="","",IFERROR(INDEX('SKU'!$B$2:$B$501,MATCH(C325,'SKU'!$A$2:$A$501,0)),""))</f>
        <v/>
      </c>
      <c r="F325" s="4">
        <f>IF(OR(C325="",E325=""),"",E325*N(IFERROR(INDEX('SKU'!$E$2:$E$501,MATCH(C325,'SKU'!$A$2:$A$501,0)),"")))</f>
        <v/>
      </c>
    </row>
    <row r="326">
      <c r="B326" s="2">
        <f>IF(A326="","",IFERROR(INDEX('판매구성'!$B$2:$B$501,MATCH(A326,'판매구성'!$A$2:$A$501,0)),""))</f>
        <v/>
      </c>
      <c r="D326" s="2">
        <f>IF(C326="","",IFERROR(INDEX('SKU'!$B$2:$B$501,MATCH(C326,'SKU'!$A$2:$A$501,0)),""))</f>
        <v/>
      </c>
      <c r="F326" s="4">
        <f>IF(OR(C326="",E326=""),"",E326*N(IFERROR(INDEX('SKU'!$E$2:$E$501,MATCH(C326,'SKU'!$A$2:$A$501,0)),"")))</f>
        <v/>
      </c>
    </row>
    <row r="327">
      <c r="B327" s="2">
        <f>IF(A327="","",IFERROR(INDEX('판매구성'!$B$2:$B$501,MATCH(A327,'판매구성'!$A$2:$A$501,0)),""))</f>
        <v/>
      </c>
      <c r="D327" s="2">
        <f>IF(C327="","",IFERROR(INDEX('SKU'!$B$2:$B$501,MATCH(C327,'SKU'!$A$2:$A$501,0)),""))</f>
        <v/>
      </c>
      <c r="F327" s="4">
        <f>IF(OR(C327="",E327=""),"",E327*N(IFERROR(INDEX('SKU'!$E$2:$E$501,MATCH(C327,'SKU'!$A$2:$A$501,0)),"")))</f>
        <v/>
      </c>
    </row>
    <row r="328">
      <c r="B328" s="2">
        <f>IF(A328="","",IFERROR(INDEX('판매구성'!$B$2:$B$501,MATCH(A328,'판매구성'!$A$2:$A$501,0)),""))</f>
        <v/>
      </c>
      <c r="D328" s="2">
        <f>IF(C328="","",IFERROR(INDEX('SKU'!$B$2:$B$501,MATCH(C328,'SKU'!$A$2:$A$501,0)),""))</f>
        <v/>
      </c>
      <c r="F328" s="4">
        <f>IF(OR(C328="",E328=""),"",E328*N(IFERROR(INDEX('SKU'!$E$2:$E$501,MATCH(C328,'SKU'!$A$2:$A$501,0)),"")))</f>
        <v/>
      </c>
    </row>
    <row r="329">
      <c r="B329" s="2">
        <f>IF(A329="","",IFERROR(INDEX('판매구성'!$B$2:$B$501,MATCH(A329,'판매구성'!$A$2:$A$501,0)),""))</f>
        <v/>
      </c>
      <c r="D329" s="2">
        <f>IF(C329="","",IFERROR(INDEX('SKU'!$B$2:$B$501,MATCH(C329,'SKU'!$A$2:$A$501,0)),""))</f>
        <v/>
      </c>
      <c r="F329" s="4">
        <f>IF(OR(C329="",E329=""),"",E329*N(IFERROR(INDEX('SKU'!$E$2:$E$501,MATCH(C329,'SKU'!$A$2:$A$501,0)),"")))</f>
        <v/>
      </c>
    </row>
    <row r="330">
      <c r="B330" s="2">
        <f>IF(A330="","",IFERROR(INDEX('판매구성'!$B$2:$B$501,MATCH(A330,'판매구성'!$A$2:$A$501,0)),""))</f>
        <v/>
      </c>
      <c r="D330" s="2">
        <f>IF(C330="","",IFERROR(INDEX('SKU'!$B$2:$B$501,MATCH(C330,'SKU'!$A$2:$A$501,0)),""))</f>
        <v/>
      </c>
      <c r="F330" s="4">
        <f>IF(OR(C330="",E330=""),"",E330*N(IFERROR(INDEX('SKU'!$E$2:$E$501,MATCH(C330,'SKU'!$A$2:$A$501,0)),"")))</f>
        <v/>
      </c>
    </row>
    <row r="331">
      <c r="B331" s="2">
        <f>IF(A331="","",IFERROR(INDEX('판매구성'!$B$2:$B$501,MATCH(A331,'판매구성'!$A$2:$A$501,0)),""))</f>
        <v/>
      </c>
      <c r="D331" s="2">
        <f>IF(C331="","",IFERROR(INDEX('SKU'!$B$2:$B$501,MATCH(C331,'SKU'!$A$2:$A$501,0)),""))</f>
        <v/>
      </c>
      <c r="F331" s="4">
        <f>IF(OR(C331="",E331=""),"",E331*N(IFERROR(INDEX('SKU'!$E$2:$E$501,MATCH(C331,'SKU'!$A$2:$A$501,0)),"")))</f>
        <v/>
      </c>
    </row>
    <row r="332">
      <c r="B332" s="2">
        <f>IF(A332="","",IFERROR(INDEX('판매구성'!$B$2:$B$501,MATCH(A332,'판매구성'!$A$2:$A$501,0)),""))</f>
        <v/>
      </c>
      <c r="D332" s="2">
        <f>IF(C332="","",IFERROR(INDEX('SKU'!$B$2:$B$501,MATCH(C332,'SKU'!$A$2:$A$501,0)),""))</f>
        <v/>
      </c>
      <c r="F332" s="4">
        <f>IF(OR(C332="",E332=""),"",E332*N(IFERROR(INDEX('SKU'!$E$2:$E$501,MATCH(C332,'SKU'!$A$2:$A$501,0)),"")))</f>
        <v/>
      </c>
    </row>
    <row r="333">
      <c r="B333" s="2">
        <f>IF(A333="","",IFERROR(INDEX('판매구성'!$B$2:$B$501,MATCH(A333,'판매구성'!$A$2:$A$501,0)),""))</f>
        <v/>
      </c>
      <c r="D333" s="2">
        <f>IF(C333="","",IFERROR(INDEX('SKU'!$B$2:$B$501,MATCH(C333,'SKU'!$A$2:$A$501,0)),""))</f>
        <v/>
      </c>
      <c r="F333" s="4">
        <f>IF(OR(C333="",E333=""),"",E333*N(IFERROR(INDEX('SKU'!$E$2:$E$501,MATCH(C333,'SKU'!$A$2:$A$501,0)),"")))</f>
        <v/>
      </c>
    </row>
    <row r="334">
      <c r="B334" s="2">
        <f>IF(A334="","",IFERROR(INDEX('판매구성'!$B$2:$B$501,MATCH(A334,'판매구성'!$A$2:$A$501,0)),""))</f>
        <v/>
      </c>
      <c r="D334" s="2">
        <f>IF(C334="","",IFERROR(INDEX('SKU'!$B$2:$B$501,MATCH(C334,'SKU'!$A$2:$A$501,0)),""))</f>
        <v/>
      </c>
      <c r="F334" s="4">
        <f>IF(OR(C334="",E334=""),"",E334*N(IFERROR(INDEX('SKU'!$E$2:$E$501,MATCH(C334,'SKU'!$A$2:$A$501,0)),"")))</f>
        <v/>
      </c>
    </row>
    <row r="335">
      <c r="B335" s="2">
        <f>IF(A335="","",IFERROR(INDEX('판매구성'!$B$2:$B$501,MATCH(A335,'판매구성'!$A$2:$A$501,0)),""))</f>
        <v/>
      </c>
      <c r="D335" s="2">
        <f>IF(C335="","",IFERROR(INDEX('SKU'!$B$2:$B$501,MATCH(C335,'SKU'!$A$2:$A$501,0)),""))</f>
        <v/>
      </c>
      <c r="F335" s="4">
        <f>IF(OR(C335="",E335=""),"",E335*N(IFERROR(INDEX('SKU'!$E$2:$E$501,MATCH(C335,'SKU'!$A$2:$A$501,0)),"")))</f>
        <v/>
      </c>
    </row>
    <row r="336">
      <c r="B336" s="2">
        <f>IF(A336="","",IFERROR(INDEX('판매구성'!$B$2:$B$501,MATCH(A336,'판매구성'!$A$2:$A$501,0)),""))</f>
        <v/>
      </c>
      <c r="D336" s="2">
        <f>IF(C336="","",IFERROR(INDEX('SKU'!$B$2:$B$501,MATCH(C336,'SKU'!$A$2:$A$501,0)),""))</f>
        <v/>
      </c>
      <c r="F336" s="4">
        <f>IF(OR(C336="",E336=""),"",E336*N(IFERROR(INDEX('SKU'!$E$2:$E$501,MATCH(C336,'SKU'!$A$2:$A$501,0)),"")))</f>
        <v/>
      </c>
    </row>
    <row r="337">
      <c r="B337" s="2">
        <f>IF(A337="","",IFERROR(INDEX('판매구성'!$B$2:$B$501,MATCH(A337,'판매구성'!$A$2:$A$501,0)),""))</f>
        <v/>
      </c>
      <c r="D337" s="2">
        <f>IF(C337="","",IFERROR(INDEX('SKU'!$B$2:$B$501,MATCH(C337,'SKU'!$A$2:$A$501,0)),""))</f>
        <v/>
      </c>
      <c r="F337" s="4">
        <f>IF(OR(C337="",E337=""),"",E337*N(IFERROR(INDEX('SKU'!$E$2:$E$501,MATCH(C337,'SKU'!$A$2:$A$501,0)),"")))</f>
        <v/>
      </c>
    </row>
    <row r="338">
      <c r="B338" s="2">
        <f>IF(A338="","",IFERROR(INDEX('판매구성'!$B$2:$B$501,MATCH(A338,'판매구성'!$A$2:$A$501,0)),""))</f>
        <v/>
      </c>
      <c r="D338" s="2">
        <f>IF(C338="","",IFERROR(INDEX('SKU'!$B$2:$B$501,MATCH(C338,'SKU'!$A$2:$A$501,0)),""))</f>
        <v/>
      </c>
      <c r="F338" s="4">
        <f>IF(OR(C338="",E338=""),"",E338*N(IFERROR(INDEX('SKU'!$E$2:$E$501,MATCH(C338,'SKU'!$A$2:$A$501,0)),"")))</f>
        <v/>
      </c>
    </row>
    <row r="339">
      <c r="B339" s="2">
        <f>IF(A339="","",IFERROR(INDEX('판매구성'!$B$2:$B$501,MATCH(A339,'판매구성'!$A$2:$A$501,0)),""))</f>
        <v/>
      </c>
      <c r="D339" s="2">
        <f>IF(C339="","",IFERROR(INDEX('SKU'!$B$2:$B$501,MATCH(C339,'SKU'!$A$2:$A$501,0)),""))</f>
        <v/>
      </c>
      <c r="F339" s="4">
        <f>IF(OR(C339="",E339=""),"",E339*N(IFERROR(INDEX('SKU'!$E$2:$E$501,MATCH(C339,'SKU'!$A$2:$A$501,0)),"")))</f>
        <v/>
      </c>
    </row>
    <row r="340">
      <c r="B340" s="2">
        <f>IF(A340="","",IFERROR(INDEX('판매구성'!$B$2:$B$501,MATCH(A340,'판매구성'!$A$2:$A$501,0)),""))</f>
        <v/>
      </c>
      <c r="D340" s="2">
        <f>IF(C340="","",IFERROR(INDEX('SKU'!$B$2:$B$501,MATCH(C340,'SKU'!$A$2:$A$501,0)),""))</f>
        <v/>
      </c>
      <c r="F340" s="4">
        <f>IF(OR(C340="",E340=""),"",E340*N(IFERROR(INDEX('SKU'!$E$2:$E$501,MATCH(C340,'SKU'!$A$2:$A$501,0)),"")))</f>
        <v/>
      </c>
    </row>
    <row r="341">
      <c r="B341" s="2">
        <f>IF(A341="","",IFERROR(INDEX('판매구성'!$B$2:$B$501,MATCH(A341,'판매구성'!$A$2:$A$501,0)),""))</f>
        <v/>
      </c>
      <c r="D341" s="2">
        <f>IF(C341="","",IFERROR(INDEX('SKU'!$B$2:$B$501,MATCH(C341,'SKU'!$A$2:$A$501,0)),""))</f>
        <v/>
      </c>
      <c r="F341" s="4">
        <f>IF(OR(C341="",E341=""),"",E341*N(IFERROR(INDEX('SKU'!$E$2:$E$501,MATCH(C341,'SKU'!$A$2:$A$501,0)),"")))</f>
        <v/>
      </c>
    </row>
    <row r="342">
      <c r="B342" s="2">
        <f>IF(A342="","",IFERROR(INDEX('판매구성'!$B$2:$B$501,MATCH(A342,'판매구성'!$A$2:$A$501,0)),""))</f>
        <v/>
      </c>
      <c r="D342" s="2">
        <f>IF(C342="","",IFERROR(INDEX('SKU'!$B$2:$B$501,MATCH(C342,'SKU'!$A$2:$A$501,0)),""))</f>
        <v/>
      </c>
      <c r="F342" s="4">
        <f>IF(OR(C342="",E342=""),"",E342*N(IFERROR(INDEX('SKU'!$E$2:$E$501,MATCH(C342,'SKU'!$A$2:$A$501,0)),"")))</f>
        <v/>
      </c>
    </row>
    <row r="343">
      <c r="B343" s="2">
        <f>IF(A343="","",IFERROR(INDEX('판매구성'!$B$2:$B$501,MATCH(A343,'판매구성'!$A$2:$A$501,0)),""))</f>
        <v/>
      </c>
      <c r="D343" s="2">
        <f>IF(C343="","",IFERROR(INDEX('SKU'!$B$2:$B$501,MATCH(C343,'SKU'!$A$2:$A$501,0)),""))</f>
        <v/>
      </c>
      <c r="F343" s="4">
        <f>IF(OR(C343="",E343=""),"",E343*N(IFERROR(INDEX('SKU'!$E$2:$E$501,MATCH(C343,'SKU'!$A$2:$A$501,0)),"")))</f>
        <v/>
      </c>
    </row>
    <row r="344">
      <c r="B344" s="2">
        <f>IF(A344="","",IFERROR(INDEX('판매구성'!$B$2:$B$501,MATCH(A344,'판매구성'!$A$2:$A$501,0)),""))</f>
        <v/>
      </c>
      <c r="D344" s="2">
        <f>IF(C344="","",IFERROR(INDEX('SKU'!$B$2:$B$501,MATCH(C344,'SKU'!$A$2:$A$501,0)),""))</f>
        <v/>
      </c>
      <c r="F344" s="4">
        <f>IF(OR(C344="",E344=""),"",E344*N(IFERROR(INDEX('SKU'!$E$2:$E$501,MATCH(C344,'SKU'!$A$2:$A$501,0)),"")))</f>
        <v/>
      </c>
    </row>
    <row r="345">
      <c r="B345" s="2">
        <f>IF(A345="","",IFERROR(INDEX('판매구성'!$B$2:$B$501,MATCH(A345,'판매구성'!$A$2:$A$501,0)),""))</f>
        <v/>
      </c>
      <c r="D345" s="2">
        <f>IF(C345="","",IFERROR(INDEX('SKU'!$B$2:$B$501,MATCH(C345,'SKU'!$A$2:$A$501,0)),""))</f>
        <v/>
      </c>
      <c r="F345" s="4">
        <f>IF(OR(C345="",E345=""),"",E345*N(IFERROR(INDEX('SKU'!$E$2:$E$501,MATCH(C345,'SKU'!$A$2:$A$501,0)),"")))</f>
        <v/>
      </c>
    </row>
    <row r="346">
      <c r="B346" s="2">
        <f>IF(A346="","",IFERROR(INDEX('판매구성'!$B$2:$B$501,MATCH(A346,'판매구성'!$A$2:$A$501,0)),""))</f>
        <v/>
      </c>
      <c r="D346" s="2">
        <f>IF(C346="","",IFERROR(INDEX('SKU'!$B$2:$B$501,MATCH(C346,'SKU'!$A$2:$A$501,0)),""))</f>
        <v/>
      </c>
      <c r="F346" s="4">
        <f>IF(OR(C346="",E346=""),"",E346*N(IFERROR(INDEX('SKU'!$E$2:$E$501,MATCH(C346,'SKU'!$A$2:$A$501,0)),"")))</f>
        <v/>
      </c>
    </row>
    <row r="347">
      <c r="B347" s="2">
        <f>IF(A347="","",IFERROR(INDEX('판매구성'!$B$2:$B$501,MATCH(A347,'판매구성'!$A$2:$A$501,0)),""))</f>
        <v/>
      </c>
      <c r="D347" s="2">
        <f>IF(C347="","",IFERROR(INDEX('SKU'!$B$2:$B$501,MATCH(C347,'SKU'!$A$2:$A$501,0)),""))</f>
        <v/>
      </c>
      <c r="F347" s="4">
        <f>IF(OR(C347="",E347=""),"",E347*N(IFERROR(INDEX('SKU'!$E$2:$E$501,MATCH(C347,'SKU'!$A$2:$A$501,0)),"")))</f>
        <v/>
      </c>
    </row>
    <row r="348">
      <c r="B348" s="2">
        <f>IF(A348="","",IFERROR(INDEX('판매구성'!$B$2:$B$501,MATCH(A348,'판매구성'!$A$2:$A$501,0)),""))</f>
        <v/>
      </c>
      <c r="D348" s="2">
        <f>IF(C348="","",IFERROR(INDEX('SKU'!$B$2:$B$501,MATCH(C348,'SKU'!$A$2:$A$501,0)),""))</f>
        <v/>
      </c>
      <c r="F348" s="4">
        <f>IF(OR(C348="",E348=""),"",E348*N(IFERROR(INDEX('SKU'!$E$2:$E$501,MATCH(C348,'SKU'!$A$2:$A$501,0)),"")))</f>
        <v/>
      </c>
    </row>
    <row r="349">
      <c r="B349" s="2">
        <f>IF(A349="","",IFERROR(INDEX('판매구성'!$B$2:$B$501,MATCH(A349,'판매구성'!$A$2:$A$501,0)),""))</f>
        <v/>
      </c>
      <c r="D349" s="2">
        <f>IF(C349="","",IFERROR(INDEX('SKU'!$B$2:$B$501,MATCH(C349,'SKU'!$A$2:$A$501,0)),""))</f>
        <v/>
      </c>
      <c r="F349" s="4">
        <f>IF(OR(C349="",E349=""),"",E349*N(IFERROR(INDEX('SKU'!$E$2:$E$501,MATCH(C349,'SKU'!$A$2:$A$501,0)),"")))</f>
        <v/>
      </c>
    </row>
    <row r="350">
      <c r="B350" s="2">
        <f>IF(A350="","",IFERROR(INDEX('판매구성'!$B$2:$B$501,MATCH(A350,'판매구성'!$A$2:$A$501,0)),""))</f>
        <v/>
      </c>
      <c r="D350" s="2">
        <f>IF(C350="","",IFERROR(INDEX('SKU'!$B$2:$B$501,MATCH(C350,'SKU'!$A$2:$A$501,0)),""))</f>
        <v/>
      </c>
      <c r="F350" s="4">
        <f>IF(OR(C350="",E350=""),"",E350*N(IFERROR(INDEX('SKU'!$E$2:$E$501,MATCH(C350,'SKU'!$A$2:$A$501,0)),"")))</f>
        <v/>
      </c>
    </row>
    <row r="351">
      <c r="B351" s="2">
        <f>IF(A351="","",IFERROR(INDEX('판매구성'!$B$2:$B$501,MATCH(A351,'판매구성'!$A$2:$A$501,0)),""))</f>
        <v/>
      </c>
      <c r="D351" s="2">
        <f>IF(C351="","",IFERROR(INDEX('SKU'!$B$2:$B$501,MATCH(C351,'SKU'!$A$2:$A$501,0)),""))</f>
        <v/>
      </c>
      <c r="F351" s="4">
        <f>IF(OR(C351="",E351=""),"",E351*N(IFERROR(INDEX('SKU'!$E$2:$E$501,MATCH(C351,'SKU'!$A$2:$A$501,0)),"")))</f>
        <v/>
      </c>
    </row>
    <row r="352">
      <c r="B352" s="2">
        <f>IF(A352="","",IFERROR(INDEX('판매구성'!$B$2:$B$501,MATCH(A352,'판매구성'!$A$2:$A$501,0)),""))</f>
        <v/>
      </c>
      <c r="D352" s="2">
        <f>IF(C352="","",IFERROR(INDEX('SKU'!$B$2:$B$501,MATCH(C352,'SKU'!$A$2:$A$501,0)),""))</f>
        <v/>
      </c>
      <c r="F352" s="4">
        <f>IF(OR(C352="",E352=""),"",E352*N(IFERROR(INDEX('SKU'!$E$2:$E$501,MATCH(C352,'SKU'!$A$2:$A$501,0)),"")))</f>
        <v/>
      </c>
    </row>
    <row r="353">
      <c r="B353" s="2">
        <f>IF(A353="","",IFERROR(INDEX('판매구성'!$B$2:$B$501,MATCH(A353,'판매구성'!$A$2:$A$501,0)),""))</f>
        <v/>
      </c>
      <c r="D353" s="2">
        <f>IF(C353="","",IFERROR(INDEX('SKU'!$B$2:$B$501,MATCH(C353,'SKU'!$A$2:$A$501,0)),""))</f>
        <v/>
      </c>
      <c r="F353" s="4">
        <f>IF(OR(C353="",E353=""),"",E353*N(IFERROR(INDEX('SKU'!$E$2:$E$501,MATCH(C353,'SKU'!$A$2:$A$501,0)),"")))</f>
        <v/>
      </c>
    </row>
    <row r="354">
      <c r="B354" s="2">
        <f>IF(A354="","",IFERROR(INDEX('판매구성'!$B$2:$B$501,MATCH(A354,'판매구성'!$A$2:$A$501,0)),""))</f>
        <v/>
      </c>
      <c r="D354" s="2">
        <f>IF(C354="","",IFERROR(INDEX('SKU'!$B$2:$B$501,MATCH(C354,'SKU'!$A$2:$A$501,0)),""))</f>
        <v/>
      </c>
      <c r="F354" s="4">
        <f>IF(OR(C354="",E354=""),"",E354*N(IFERROR(INDEX('SKU'!$E$2:$E$501,MATCH(C354,'SKU'!$A$2:$A$501,0)),"")))</f>
        <v/>
      </c>
    </row>
    <row r="355">
      <c r="B355" s="2">
        <f>IF(A355="","",IFERROR(INDEX('판매구성'!$B$2:$B$501,MATCH(A355,'판매구성'!$A$2:$A$501,0)),""))</f>
        <v/>
      </c>
      <c r="D355" s="2">
        <f>IF(C355="","",IFERROR(INDEX('SKU'!$B$2:$B$501,MATCH(C355,'SKU'!$A$2:$A$501,0)),""))</f>
        <v/>
      </c>
      <c r="F355" s="4">
        <f>IF(OR(C355="",E355=""),"",E355*N(IFERROR(INDEX('SKU'!$E$2:$E$501,MATCH(C355,'SKU'!$A$2:$A$501,0)),"")))</f>
        <v/>
      </c>
    </row>
    <row r="356">
      <c r="B356" s="2">
        <f>IF(A356="","",IFERROR(INDEX('판매구성'!$B$2:$B$501,MATCH(A356,'판매구성'!$A$2:$A$501,0)),""))</f>
        <v/>
      </c>
      <c r="D356" s="2">
        <f>IF(C356="","",IFERROR(INDEX('SKU'!$B$2:$B$501,MATCH(C356,'SKU'!$A$2:$A$501,0)),""))</f>
        <v/>
      </c>
      <c r="F356" s="4">
        <f>IF(OR(C356="",E356=""),"",E356*N(IFERROR(INDEX('SKU'!$E$2:$E$501,MATCH(C356,'SKU'!$A$2:$A$501,0)),"")))</f>
        <v/>
      </c>
    </row>
    <row r="357">
      <c r="B357" s="2">
        <f>IF(A357="","",IFERROR(INDEX('판매구성'!$B$2:$B$501,MATCH(A357,'판매구성'!$A$2:$A$501,0)),""))</f>
        <v/>
      </c>
      <c r="D357" s="2">
        <f>IF(C357="","",IFERROR(INDEX('SKU'!$B$2:$B$501,MATCH(C357,'SKU'!$A$2:$A$501,0)),""))</f>
        <v/>
      </c>
      <c r="F357" s="4">
        <f>IF(OR(C357="",E357=""),"",E357*N(IFERROR(INDEX('SKU'!$E$2:$E$501,MATCH(C357,'SKU'!$A$2:$A$501,0)),"")))</f>
        <v/>
      </c>
    </row>
    <row r="358">
      <c r="B358" s="2">
        <f>IF(A358="","",IFERROR(INDEX('판매구성'!$B$2:$B$501,MATCH(A358,'판매구성'!$A$2:$A$501,0)),""))</f>
        <v/>
      </c>
      <c r="D358" s="2">
        <f>IF(C358="","",IFERROR(INDEX('SKU'!$B$2:$B$501,MATCH(C358,'SKU'!$A$2:$A$501,0)),""))</f>
        <v/>
      </c>
      <c r="F358" s="4">
        <f>IF(OR(C358="",E358=""),"",E358*N(IFERROR(INDEX('SKU'!$E$2:$E$501,MATCH(C358,'SKU'!$A$2:$A$501,0)),"")))</f>
        <v/>
      </c>
    </row>
    <row r="359">
      <c r="B359" s="2">
        <f>IF(A359="","",IFERROR(INDEX('판매구성'!$B$2:$B$501,MATCH(A359,'판매구성'!$A$2:$A$501,0)),""))</f>
        <v/>
      </c>
      <c r="D359" s="2">
        <f>IF(C359="","",IFERROR(INDEX('SKU'!$B$2:$B$501,MATCH(C359,'SKU'!$A$2:$A$501,0)),""))</f>
        <v/>
      </c>
      <c r="F359" s="4">
        <f>IF(OR(C359="",E359=""),"",E359*N(IFERROR(INDEX('SKU'!$E$2:$E$501,MATCH(C359,'SKU'!$A$2:$A$501,0)),"")))</f>
        <v/>
      </c>
    </row>
    <row r="360">
      <c r="B360" s="2">
        <f>IF(A360="","",IFERROR(INDEX('판매구성'!$B$2:$B$501,MATCH(A360,'판매구성'!$A$2:$A$501,0)),""))</f>
        <v/>
      </c>
      <c r="D360" s="2">
        <f>IF(C360="","",IFERROR(INDEX('SKU'!$B$2:$B$501,MATCH(C360,'SKU'!$A$2:$A$501,0)),""))</f>
        <v/>
      </c>
      <c r="F360" s="4">
        <f>IF(OR(C360="",E360=""),"",E360*N(IFERROR(INDEX('SKU'!$E$2:$E$501,MATCH(C360,'SKU'!$A$2:$A$501,0)),"")))</f>
        <v/>
      </c>
    </row>
    <row r="361">
      <c r="B361" s="2">
        <f>IF(A361="","",IFERROR(INDEX('판매구성'!$B$2:$B$501,MATCH(A361,'판매구성'!$A$2:$A$501,0)),""))</f>
        <v/>
      </c>
      <c r="D361" s="2">
        <f>IF(C361="","",IFERROR(INDEX('SKU'!$B$2:$B$501,MATCH(C361,'SKU'!$A$2:$A$501,0)),""))</f>
        <v/>
      </c>
      <c r="F361" s="4">
        <f>IF(OR(C361="",E361=""),"",E361*N(IFERROR(INDEX('SKU'!$E$2:$E$501,MATCH(C361,'SKU'!$A$2:$A$501,0)),"")))</f>
        <v/>
      </c>
    </row>
    <row r="362">
      <c r="B362" s="2">
        <f>IF(A362="","",IFERROR(INDEX('판매구성'!$B$2:$B$501,MATCH(A362,'판매구성'!$A$2:$A$501,0)),""))</f>
        <v/>
      </c>
      <c r="D362" s="2">
        <f>IF(C362="","",IFERROR(INDEX('SKU'!$B$2:$B$501,MATCH(C362,'SKU'!$A$2:$A$501,0)),""))</f>
        <v/>
      </c>
      <c r="F362" s="4">
        <f>IF(OR(C362="",E362=""),"",E362*N(IFERROR(INDEX('SKU'!$E$2:$E$501,MATCH(C362,'SKU'!$A$2:$A$501,0)),"")))</f>
        <v/>
      </c>
    </row>
    <row r="363">
      <c r="B363" s="2">
        <f>IF(A363="","",IFERROR(INDEX('판매구성'!$B$2:$B$501,MATCH(A363,'판매구성'!$A$2:$A$501,0)),""))</f>
        <v/>
      </c>
      <c r="D363" s="2">
        <f>IF(C363="","",IFERROR(INDEX('SKU'!$B$2:$B$501,MATCH(C363,'SKU'!$A$2:$A$501,0)),""))</f>
        <v/>
      </c>
      <c r="F363" s="4">
        <f>IF(OR(C363="",E363=""),"",E363*N(IFERROR(INDEX('SKU'!$E$2:$E$501,MATCH(C363,'SKU'!$A$2:$A$501,0)),"")))</f>
        <v/>
      </c>
    </row>
    <row r="364">
      <c r="B364" s="2">
        <f>IF(A364="","",IFERROR(INDEX('판매구성'!$B$2:$B$501,MATCH(A364,'판매구성'!$A$2:$A$501,0)),""))</f>
        <v/>
      </c>
      <c r="D364" s="2">
        <f>IF(C364="","",IFERROR(INDEX('SKU'!$B$2:$B$501,MATCH(C364,'SKU'!$A$2:$A$501,0)),""))</f>
        <v/>
      </c>
      <c r="F364" s="4">
        <f>IF(OR(C364="",E364=""),"",E364*N(IFERROR(INDEX('SKU'!$E$2:$E$501,MATCH(C364,'SKU'!$A$2:$A$501,0)),"")))</f>
        <v/>
      </c>
    </row>
    <row r="365">
      <c r="B365" s="2">
        <f>IF(A365="","",IFERROR(INDEX('판매구성'!$B$2:$B$501,MATCH(A365,'판매구성'!$A$2:$A$501,0)),""))</f>
        <v/>
      </c>
      <c r="D365" s="2">
        <f>IF(C365="","",IFERROR(INDEX('SKU'!$B$2:$B$501,MATCH(C365,'SKU'!$A$2:$A$501,0)),""))</f>
        <v/>
      </c>
      <c r="F365" s="4">
        <f>IF(OR(C365="",E365=""),"",E365*N(IFERROR(INDEX('SKU'!$E$2:$E$501,MATCH(C365,'SKU'!$A$2:$A$501,0)),"")))</f>
        <v/>
      </c>
    </row>
    <row r="366">
      <c r="B366" s="2">
        <f>IF(A366="","",IFERROR(INDEX('판매구성'!$B$2:$B$501,MATCH(A366,'판매구성'!$A$2:$A$501,0)),""))</f>
        <v/>
      </c>
      <c r="D366" s="2">
        <f>IF(C366="","",IFERROR(INDEX('SKU'!$B$2:$B$501,MATCH(C366,'SKU'!$A$2:$A$501,0)),""))</f>
        <v/>
      </c>
      <c r="F366" s="4">
        <f>IF(OR(C366="",E366=""),"",E366*N(IFERROR(INDEX('SKU'!$E$2:$E$501,MATCH(C366,'SKU'!$A$2:$A$501,0)),"")))</f>
        <v/>
      </c>
    </row>
    <row r="367">
      <c r="B367" s="2">
        <f>IF(A367="","",IFERROR(INDEX('판매구성'!$B$2:$B$501,MATCH(A367,'판매구성'!$A$2:$A$501,0)),""))</f>
        <v/>
      </c>
      <c r="D367" s="2">
        <f>IF(C367="","",IFERROR(INDEX('SKU'!$B$2:$B$501,MATCH(C367,'SKU'!$A$2:$A$501,0)),""))</f>
        <v/>
      </c>
      <c r="F367" s="4">
        <f>IF(OR(C367="",E367=""),"",E367*N(IFERROR(INDEX('SKU'!$E$2:$E$501,MATCH(C367,'SKU'!$A$2:$A$501,0)),"")))</f>
        <v/>
      </c>
    </row>
    <row r="368">
      <c r="B368" s="2">
        <f>IF(A368="","",IFERROR(INDEX('판매구성'!$B$2:$B$501,MATCH(A368,'판매구성'!$A$2:$A$501,0)),""))</f>
        <v/>
      </c>
      <c r="D368" s="2">
        <f>IF(C368="","",IFERROR(INDEX('SKU'!$B$2:$B$501,MATCH(C368,'SKU'!$A$2:$A$501,0)),""))</f>
        <v/>
      </c>
      <c r="F368" s="4">
        <f>IF(OR(C368="",E368=""),"",E368*N(IFERROR(INDEX('SKU'!$E$2:$E$501,MATCH(C368,'SKU'!$A$2:$A$501,0)),"")))</f>
        <v/>
      </c>
    </row>
    <row r="369">
      <c r="B369" s="2">
        <f>IF(A369="","",IFERROR(INDEX('판매구성'!$B$2:$B$501,MATCH(A369,'판매구성'!$A$2:$A$501,0)),""))</f>
        <v/>
      </c>
      <c r="D369" s="2">
        <f>IF(C369="","",IFERROR(INDEX('SKU'!$B$2:$B$501,MATCH(C369,'SKU'!$A$2:$A$501,0)),""))</f>
        <v/>
      </c>
      <c r="F369" s="4">
        <f>IF(OR(C369="",E369=""),"",E369*N(IFERROR(INDEX('SKU'!$E$2:$E$501,MATCH(C369,'SKU'!$A$2:$A$501,0)),"")))</f>
        <v/>
      </c>
    </row>
    <row r="370">
      <c r="B370" s="2">
        <f>IF(A370="","",IFERROR(INDEX('판매구성'!$B$2:$B$501,MATCH(A370,'판매구성'!$A$2:$A$501,0)),""))</f>
        <v/>
      </c>
      <c r="D370" s="2">
        <f>IF(C370="","",IFERROR(INDEX('SKU'!$B$2:$B$501,MATCH(C370,'SKU'!$A$2:$A$501,0)),""))</f>
        <v/>
      </c>
      <c r="F370" s="4">
        <f>IF(OR(C370="",E370=""),"",E370*N(IFERROR(INDEX('SKU'!$E$2:$E$501,MATCH(C370,'SKU'!$A$2:$A$501,0)),"")))</f>
        <v/>
      </c>
    </row>
    <row r="371">
      <c r="B371" s="2">
        <f>IF(A371="","",IFERROR(INDEX('판매구성'!$B$2:$B$501,MATCH(A371,'판매구성'!$A$2:$A$501,0)),""))</f>
        <v/>
      </c>
      <c r="D371" s="2">
        <f>IF(C371="","",IFERROR(INDEX('SKU'!$B$2:$B$501,MATCH(C371,'SKU'!$A$2:$A$501,0)),""))</f>
        <v/>
      </c>
      <c r="F371" s="4">
        <f>IF(OR(C371="",E371=""),"",E371*N(IFERROR(INDEX('SKU'!$E$2:$E$501,MATCH(C371,'SKU'!$A$2:$A$501,0)),"")))</f>
        <v/>
      </c>
    </row>
    <row r="372">
      <c r="B372" s="2">
        <f>IF(A372="","",IFERROR(INDEX('판매구성'!$B$2:$B$501,MATCH(A372,'판매구성'!$A$2:$A$501,0)),""))</f>
        <v/>
      </c>
      <c r="D372" s="2">
        <f>IF(C372="","",IFERROR(INDEX('SKU'!$B$2:$B$501,MATCH(C372,'SKU'!$A$2:$A$501,0)),""))</f>
        <v/>
      </c>
      <c r="F372" s="4">
        <f>IF(OR(C372="",E372=""),"",E372*N(IFERROR(INDEX('SKU'!$E$2:$E$501,MATCH(C372,'SKU'!$A$2:$A$501,0)),"")))</f>
        <v/>
      </c>
    </row>
    <row r="373">
      <c r="B373" s="2">
        <f>IF(A373="","",IFERROR(INDEX('판매구성'!$B$2:$B$501,MATCH(A373,'판매구성'!$A$2:$A$501,0)),""))</f>
        <v/>
      </c>
      <c r="D373" s="2">
        <f>IF(C373="","",IFERROR(INDEX('SKU'!$B$2:$B$501,MATCH(C373,'SKU'!$A$2:$A$501,0)),""))</f>
        <v/>
      </c>
      <c r="F373" s="4">
        <f>IF(OR(C373="",E373=""),"",E373*N(IFERROR(INDEX('SKU'!$E$2:$E$501,MATCH(C373,'SKU'!$A$2:$A$501,0)),"")))</f>
        <v/>
      </c>
    </row>
    <row r="374">
      <c r="B374" s="2">
        <f>IF(A374="","",IFERROR(INDEX('판매구성'!$B$2:$B$501,MATCH(A374,'판매구성'!$A$2:$A$501,0)),""))</f>
        <v/>
      </c>
      <c r="D374" s="2">
        <f>IF(C374="","",IFERROR(INDEX('SKU'!$B$2:$B$501,MATCH(C374,'SKU'!$A$2:$A$501,0)),""))</f>
        <v/>
      </c>
      <c r="F374" s="4">
        <f>IF(OR(C374="",E374=""),"",E374*N(IFERROR(INDEX('SKU'!$E$2:$E$501,MATCH(C374,'SKU'!$A$2:$A$501,0)),"")))</f>
        <v/>
      </c>
    </row>
    <row r="375">
      <c r="B375" s="2">
        <f>IF(A375="","",IFERROR(INDEX('판매구성'!$B$2:$B$501,MATCH(A375,'판매구성'!$A$2:$A$501,0)),""))</f>
        <v/>
      </c>
      <c r="D375" s="2">
        <f>IF(C375="","",IFERROR(INDEX('SKU'!$B$2:$B$501,MATCH(C375,'SKU'!$A$2:$A$501,0)),""))</f>
        <v/>
      </c>
      <c r="F375" s="4">
        <f>IF(OR(C375="",E375=""),"",E375*N(IFERROR(INDEX('SKU'!$E$2:$E$501,MATCH(C375,'SKU'!$A$2:$A$501,0)),"")))</f>
        <v/>
      </c>
    </row>
    <row r="376">
      <c r="B376" s="2">
        <f>IF(A376="","",IFERROR(INDEX('판매구성'!$B$2:$B$501,MATCH(A376,'판매구성'!$A$2:$A$501,0)),""))</f>
        <v/>
      </c>
      <c r="D376" s="2">
        <f>IF(C376="","",IFERROR(INDEX('SKU'!$B$2:$B$501,MATCH(C376,'SKU'!$A$2:$A$501,0)),""))</f>
        <v/>
      </c>
      <c r="F376" s="4">
        <f>IF(OR(C376="",E376=""),"",E376*N(IFERROR(INDEX('SKU'!$E$2:$E$501,MATCH(C376,'SKU'!$A$2:$A$501,0)),"")))</f>
        <v/>
      </c>
    </row>
    <row r="377">
      <c r="B377" s="2">
        <f>IF(A377="","",IFERROR(INDEX('판매구성'!$B$2:$B$501,MATCH(A377,'판매구성'!$A$2:$A$501,0)),""))</f>
        <v/>
      </c>
      <c r="D377" s="2">
        <f>IF(C377="","",IFERROR(INDEX('SKU'!$B$2:$B$501,MATCH(C377,'SKU'!$A$2:$A$501,0)),""))</f>
        <v/>
      </c>
      <c r="F377" s="4">
        <f>IF(OR(C377="",E377=""),"",E377*N(IFERROR(INDEX('SKU'!$E$2:$E$501,MATCH(C377,'SKU'!$A$2:$A$501,0)),"")))</f>
        <v/>
      </c>
    </row>
    <row r="378">
      <c r="B378" s="2">
        <f>IF(A378="","",IFERROR(INDEX('판매구성'!$B$2:$B$501,MATCH(A378,'판매구성'!$A$2:$A$501,0)),""))</f>
        <v/>
      </c>
      <c r="D378" s="2">
        <f>IF(C378="","",IFERROR(INDEX('SKU'!$B$2:$B$501,MATCH(C378,'SKU'!$A$2:$A$501,0)),""))</f>
        <v/>
      </c>
      <c r="F378" s="4">
        <f>IF(OR(C378="",E378=""),"",E378*N(IFERROR(INDEX('SKU'!$E$2:$E$501,MATCH(C378,'SKU'!$A$2:$A$501,0)),"")))</f>
        <v/>
      </c>
    </row>
    <row r="379">
      <c r="B379" s="2">
        <f>IF(A379="","",IFERROR(INDEX('판매구성'!$B$2:$B$501,MATCH(A379,'판매구성'!$A$2:$A$501,0)),""))</f>
        <v/>
      </c>
      <c r="D379" s="2">
        <f>IF(C379="","",IFERROR(INDEX('SKU'!$B$2:$B$501,MATCH(C379,'SKU'!$A$2:$A$501,0)),""))</f>
        <v/>
      </c>
      <c r="F379" s="4">
        <f>IF(OR(C379="",E379=""),"",E379*N(IFERROR(INDEX('SKU'!$E$2:$E$501,MATCH(C379,'SKU'!$A$2:$A$501,0)),"")))</f>
        <v/>
      </c>
    </row>
    <row r="380">
      <c r="B380" s="2">
        <f>IF(A380="","",IFERROR(INDEX('판매구성'!$B$2:$B$501,MATCH(A380,'판매구성'!$A$2:$A$501,0)),""))</f>
        <v/>
      </c>
      <c r="D380" s="2">
        <f>IF(C380="","",IFERROR(INDEX('SKU'!$B$2:$B$501,MATCH(C380,'SKU'!$A$2:$A$501,0)),""))</f>
        <v/>
      </c>
      <c r="F380" s="4">
        <f>IF(OR(C380="",E380=""),"",E380*N(IFERROR(INDEX('SKU'!$E$2:$E$501,MATCH(C380,'SKU'!$A$2:$A$501,0)),"")))</f>
        <v/>
      </c>
    </row>
    <row r="381">
      <c r="B381" s="2">
        <f>IF(A381="","",IFERROR(INDEX('판매구성'!$B$2:$B$501,MATCH(A381,'판매구성'!$A$2:$A$501,0)),""))</f>
        <v/>
      </c>
      <c r="D381" s="2">
        <f>IF(C381="","",IFERROR(INDEX('SKU'!$B$2:$B$501,MATCH(C381,'SKU'!$A$2:$A$501,0)),""))</f>
        <v/>
      </c>
      <c r="F381" s="4">
        <f>IF(OR(C381="",E381=""),"",E381*N(IFERROR(INDEX('SKU'!$E$2:$E$501,MATCH(C381,'SKU'!$A$2:$A$501,0)),"")))</f>
        <v/>
      </c>
    </row>
    <row r="382">
      <c r="B382" s="2">
        <f>IF(A382="","",IFERROR(INDEX('판매구성'!$B$2:$B$501,MATCH(A382,'판매구성'!$A$2:$A$501,0)),""))</f>
        <v/>
      </c>
      <c r="D382" s="2">
        <f>IF(C382="","",IFERROR(INDEX('SKU'!$B$2:$B$501,MATCH(C382,'SKU'!$A$2:$A$501,0)),""))</f>
        <v/>
      </c>
      <c r="F382" s="4">
        <f>IF(OR(C382="",E382=""),"",E382*N(IFERROR(INDEX('SKU'!$E$2:$E$501,MATCH(C382,'SKU'!$A$2:$A$501,0)),"")))</f>
        <v/>
      </c>
    </row>
    <row r="383">
      <c r="B383" s="2">
        <f>IF(A383="","",IFERROR(INDEX('판매구성'!$B$2:$B$501,MATCH(A383,'판매구성'!$A$2:$A$501,0)),""))</f>
        <v/>
      </c>
      <c r="D383" s="2">
        <f>IF(C383="","",IFERROR(INDEX('SKU'!$B$2:$B$501,MATCH(C383,'SKU'!$A$2:$A$501,0)),""))</f>
        <v/>
      </c>
      <c r="F383" s="4">
        <f>IF(OR(C383="",E383=""),"",E383*N(IFERROR(INDEX('SKU'!$E$2:$E$501,MATCH(C383,'SKU'!$A$2:$A$501,0)),"")))</f>
        <v/>
      </c>
    </row>
    <row r="384">
      <c r="B384" s="2">
        <f>IF(A384="","",IFERROR(INDEX('판매구성'!$B$2:$B$501,MATCH(A384,'판매구성'!$A$2:$A$501,0)),""))</f>
        <v/>
      </c>
      <c r="D384" s="2">
        <f>IF(C384="","",IFERROR(INDEX('SKU'!$B$2:$B$501,MATCH(C384,'SKU'!$A$2:$A$501,0)),""))</f>
        <v/>
      </c>
      <c r="F384" s="4">
        <f>IF(OR(C384="",E384=""),"",E384*N(IFERROR(INDEX('SKU'!$E$2:$E$501,MATCH(C384,'SKU'!$A$2:$A$501,0)),"")))</f>
        <v/>
      </c>
    </row>
    <row r="385">
      <c r="B385" s="2">
        <f>IF(A385="","",IFERROR(INDEX('판매구성'!$B$2:$B$501,MATCH(A385,'판매구성'!$A$2:$A$501,0)),""))</f>
        <v/>
      </c>
      <c r="D385" s="2">
        <f>IF(C385="","",IFERROR(INDEX('SKU'!$B$2:$B$501,MATCH(C385,'SKU'!$A$2:$A$501,0)),""))</f>
        <v/>
      </c>
      <c r="F385" s="4">
        <f>IF(OR(C385="",E385=""),"",E385*N(IFERROR(INDEX('SKU'!$E$2:$E$501,MATCH(C385,'SKU'!$A$2:$A$501,0)),"")))</f>
        <v/>
      </c>
    </row>
    <row r="386">
      <c r="B386" s="2">
        <f>IF(A386="","",IFERROR(INDEX('판매구성'!$B$2:$B$501,MATCH(A386,'판매구성'!$A$2:$A$501,0)),""))</f>
        <v/>
      </c>
      <c r="D386" s="2">
        <f>IF(C386="","",IFERROR(INDEX('SKU'!$B$2:$B$501,MATCH(C386,'SKU'!$A$2:$A$501,0)),""))</f>
        <v/>
      </c>
      <c r="F386" s="4">
        <f>IF(OR(C386="",E386=""),"",E386*N(IFERROR(INDEX('SKU'!$E$2:$E$501,MATCH(C386,'SKU'!$A$2:$A$501,0)),"")))</f>
        <v/>
      </c>
    </row>
    <row r="387">
      <c r="B387" s="2">
        <f>IF(A387="","",IFERROR(INDEX('판매구성'!$B$2:$B$501,MATCH(A387,'판매구성'!$A$2:$A$501,0)),""))</f>
        <v/>
      </c>
      <c r="D387" s="2">
        <f>IF(C387="","",IFERROR(INDEX('SKU'!$B$2:$B$501,MATCH(C387,'SKU'!$A$2:$A$501,0)),""))</f>
        <v/>
      </c>
      <c r="F387" s="4">
        <f>IF(OR(C387="",E387=""),"",E387*N(IFERROR(INDEX('SKU'!$E$2:$E$501,MATCH(C387,'SKU'!$A$2:$A$501,0)),"")))</f>
        <v/>
      </c>
    </row>
    <row r="388">
      <c r="B388" s="2">
        <f>IF(A388="","",IFERROR(INDEX('판매구성'!$B$2:$B$501,MATCH(A388,'판매구성'!$A$2:$A$501,0)),""))</f>
        <v/>
      </c>
      <c r="D388" s="2">
        <f>IF(C388="","",IFERROR(INDEX('SKU'!$B$2:$B$501,MATCH(C388,'SKU'!$A$2:$A$501,0)),""))</f>
        <v/>
      </c>
      <c r="F388" s="4">
        <f>IF(OR(C388="",E388=""),"",E388*N(IFERROR(INDEX('SKU'!$E$2:$E$501,MATCH(C388,'SKU'!$A$2:$A$501,0)),"")))</f>
        <v/>
      </c>
    </row>
    <row r="389">
      <c r="B389" s="2">
        <f>IF(A389="","",IFERROR(INDEX('판매구성'!$B$2:$B$501,MATCH(A389,'판매구성'!$A$2:$A$501,0)),""))</f>
        <v/>
      </c>
      <c r="D389" s="2">
        <f>IF(C389="","",IFERROR(INDEX('SKU'!$B$2:$B$501,MATCH(C389,'SKU'!$A$2:$A$501,0)),""))</f>
        <v/>
      </c>
      <c r="F389" s="4">
        <f>IF(OR(C389="",E389=""),"",E389*N(IFERROR(INDEX('SKU'!$E$2:$E$501,MATCH(C389,'SKU'!$A$2:$A$501,0)),"")))</f>
        <v/>
      </c>
    </row>
    <row r="390">
      <c r="B390" s="2">
        <f>IF(A390="","",IFERROR(INDEX('판매구성'!$B$2:$B$501,MATCH(A390,'판매구성'!$A$2:$A$501,0)),""))</f>
        <v/>
      </c>
      <c r="D390" s="2">
        <f>IF(C390="","",IFERROR(INDEX('SKU'!$B$2:$B$501,MATCH(C390,'SKU'!$A$2:$A$501,0)),""))</f>
        <v/>
      </c>
      <c r="F390" s="4">
        <f>IF(OR(C390="",E390=""),"",E390*N(IFERROR(INDEX('SKU'!$E$2:$E$501,MATCH(C390,'SKU'!$A$2:$A$501,0)),"")))</f>
        <v/>
      </c>
    </row>
    <row r="391">
      <c r="B391" s="2">
        <f>IF(A391="","",IFERROR(INDEX('판매구성'!$B$2:$B$501,MATCH(A391,'판매구성'!$A$2:$A$501,0)),""))</f>
        <v/>
      </c>
      <c r="D391" s="2">
        <f>IF(C391="","",IFERROR(INDEX('SKU'!$B$2:$B$501,MATCH(C391,'SKU'!$A$2:$A$501,0)),""))</f>
        <v/>
      </c>
      <c r="F391" s="4">
        <f>IF(OR(C391="",E391=""),"",E391*N(IFERROR(INDEX('SKU'!$E$2:$E$501,MATCH(C391,'SKU'!$A$2:$A$501,0)),"")))</f>
        <v/>
      </c>
    </row>
    <row r="392">
      <c r="B392" s="2">
        <f>IF(A392="","",IFERROR(INDEX('판매구성'!$B$2:$B$501,MATCH(A392,'판매구성'!$A$2:$A$501,0)),""))</f>
        <v/>
      </c>
      <c r="D392" s="2">
        <f>IF(C392="","",IFERROR(INDEX('SKU'!$B$2:$B$501,MATCH(C392,'SKU'!$A$2:$A$501,0)),""))</f>
        <v/>
      </c>
      <c r="F392" s="4">
        <f>IF(OR(C392="",E392=""),"",E392*N(IFERROR(INDEX('SKU'!$E$2:$E$501,MATCH(C392,'SKU'!$A$2:$A$501,0)),"")))</f>
        <v/>
      </c>
    </row>
    <row r="393">
      <c r="B393" s="2">
        <f>IF(A393="","",IFERROR(INDEX('판매구성'!$B$2:$B$501,MATCH(A393,'판매구성'!$A$2:$A$501,0)),""))</f>
        <v/>
      </c>
      <c r="D393" s="2">
        <f>IF(C393="","",IFERROR(INDEX('SKU'!$B$2:$B$501,MATCH(C393,'SKU'!$A$2:$A$501,0)),""))</f>
        <v/>
      </c>
      <c r="F393" s="4">
        <f>IF(OR(C393="",E393=""),"",E393*N(IFERROR(INDEX('SKU'!$E$2:$E$501,MATCH(C393,'SKU'!$A$2:$A$501,0)),"")))</f>
        <v/>
      </c>
    </row>
    <row r="394">
      <c r="B394" s="2">
        <f>IF(A394="","",IFERROR(INDEX('판매구성'!$B$2:$B$501,MATCH(A394,'판매구성'!$A$2:$A$501,0)),""))</f>
        <v/>
      </c>
      <c r="D394" s="2">
        <f>IF(C394="","",IFERROR(INDEX('SKU'!$B$2:$B$501,MATCH(C394,'SKU'!$A$2:$A$501,0)),""))</f>
        <v/>
      </c>
      <c r="F394" s="4">
        <f>IF(OR(C394="",E394=""),"",E394*N(IFERROR(INDEX('SKU'!$E$2:$E$501,MATCH(C394,'SKU'!$A$2:$A$501,0)),"")))</f>
        <v/>
      </c>
    </row>
    <row r="395">
      <c r="B395" s="2">
        <f>IF(A395="","",IFERROR(INDEX('판매구성'!$B$2:$B$501,MATCH(A395,'판매구성'!$A$2:$A$501,0)),""))</f>
        <v/>
      </c>
      <c r="D395" s="2">
        <f>IF(C395="","",IFERROR(INDEX('SKU'!$B$2:$B$501,MATCH(C395,'SKU'!$A$2:$A$501,0)),""))</f>
        <v/>
      </c>
      <c r="F395" s="4">
        <f>IF(OR(C395="",E395=""),"",E395*N(IFERROR(INDEX('SKU'!$E$2:$E$501,MATCH(C395,'SKU'!$A$2:$A$501,0)),"")))</f>
        <v/>
      </c>
    </row>
    <row r="396">
      <c r="B396" s="2">
        <f>IF(A396="","",IFERROR(INDEX('판매구성'!$B$2:$B$501,MATCH(A396,'판매구성'!$A$2:$A$501,0)),""))</f>
        <v/>
      </c>
      <c r="D396" s="2">
        <f>IF(C396="","",IFERROR(INDEX('SKU'!$B$2:$B$501,MATCH(C396,'SKU'!$A$2:$A$501,0)),""))</f>
        <v/>
      </c>
      <c r="F396" s="4">
        <f>IF(OR(C396="",E396=""),"",E396*N(IFERROR(INDEX('SKU'!$E$2:$E$501,MATCH(C396,'SKU'!$A$2:$A$501,0)),"")))</f>
        <v/>
      </c>
    </row>
    <row r="397">
      <c r="B397" s="2">
        <f>IF(A397="","",IFERROR(INDEX('판매구성'!$B$2:$B$501,MATCH(A397,'판매구성'!$A$2:$A$501,0)),""))</f>
        <v/>
      </c>
      <c r="D397" s="2">
        <f>IF(C397="","",IFERROR(INDEX('SKU'!$B$2:$B$501,MATCH(C397,'SKU'!$A$2:$A$501,0)),""))</f>
        <v/>
      </c>
      <c r="F397" s="4">
        <f>IF(OR(C397="",E397=""),"",E397*N(IFERROR(INDEX('SKU'!$E$2:$E$501,MATCH(C397,'SKU'!$A$2:$A$501,0)),"")))</f>
        <v/>
      </c>
    </row>
    <row r="398">
      <c r="B398" s="2">
        <f>IF(A398="","",IFERROR(INDEX('판매구성'!$B$2:$B$501,MATCH(A398,'판매구성'!$A$2:$A$501,0)),""))</f>
        <v/>
      </c>
      <c r="D398" s="2">
        <f>IF(C398="","",IFERROR(INDEX('SKU'!$B$2:$B$501,MATCH(C398,'SKU'!$A$2:$A$501,0)),""))</f>
        <v/>
      </c>
      <c r="F398" s="4">
        <f>IF(OR(C398="",E398=""),"",E398*N(IFERROR(INDEX('SKU'!$E$2:$E$501,MATCH(C398,'SKU'!$A$2:$A$501,0)),"")))</f>
        <v/>
      </c>
    </row>
    <row r="399">
      <c r="B399" s="2">
        <f>IF(A399="","",IFERROR(INDEX('판매구성'!$B$2:$B$501,MATCH(A399,'판매구성'!$A$2:$A$501,0)),""))</f>
        <v/>
      </c>
      <c r="D399" s="2">
        <f>IF(C399="","",IFERROR(INDEX('SKU'!$B$2:$B$501,MATCH(C399,'SKU'!$A$2:$A$501,0)),""))</f>
        <v/>
      </c>
      <c r="F399" s="4">
        <f>IF(OR(C399="",E399=""),"",E399*N(IFERROR(INDEX('SKU'!$E$2:$E$501,MATCH(C399,'SKU'!$A$2:$A$501,0)),"")))</f>
        <v/>
      </c>
    </row>
    <row r="400">
      <c r="B400" s="2">
        <f>IF(A400="","",IFERROR(INDEX('판매구성'!$B$2:$B$501,MATCH(A400,'판매구성'!$A$2:$A$501,0)),""))</f>
        <v/>
      </c>
      <c r="D400" s="2">
        <f>IF(C400="","",IFERROR(INDEX('SKU'!$B$2:$B$501,MATCH(C400,'SKU'!$A$2:$A$501,0)),""))</f>
        <v/>
      </c>
      <c r="F400" s="4">
        <f>IF(OR(C400="",E400=""),"",E400*N(IFERROR(INDEX('SKU'!$E$2:$E$501,MATCH(C400,'SKU'!$A$2:$A$501,0)),"")))</f>
        <v/>
      </c>
    </row>
    <row r="401">
      <c r="B401" s="2">
        <f>IF(A401="","",IFERROR(INDEX('판매구성'!$B$2:$B$501,MATCH(A401,'판매구성'!$A$2:$A$501,0)),""))</f>
        <v/>
      </c>
      <c r="D401" s="2">
        <f>IF(C401="","",IFERROR(INDEX('SKU'!$B$2:$B$501,MATCH(C401,'SKU'!$A$2:$A$501,0)),""))</f>
        <v/>
      </c>
      <c r="F401" s="4">
        <f>IF(OR(C401="",E401=""),"",E401*N(IFERROR(INDEX('SKU'!$E$2:$E$501,MATCH(C401,'SKU'!$A$2:$A$501,0)),"")))</f>
        <v/>
      </c>
    </row>
    <row r="402">
      <c r="B402" s="2">
        <f>IF(A402="","",IFERROR(INDEX('판매구성'!$B$2:$B$501,MATCH(A402,'판매구성'!$A$2:$A$501,0)),""))</f>
        <v/>
      </c>
      <c r="D402" s="2">
        <f>IF(C402="","",IFERROR(INDEX('SKU'!$B$2:$B$501,MATCH(C402,'SKU'!$A$2:$A$501,0)),""))</f>
        <v/>
      </c>
      <c r="F402" s="4">
        <f>IF(OR(C402="",E402=""),"",E402*N(IFERROR(INDEX('SKU'!$E$2:$E$501,MATCH(C402,'SKU'!$A$2:$A$501,0)),"")))</f>
        <v/>
      </c>
    </row>
    <row r="403">
      <c r="B403" s="2">
        <f>IF(A403="","",IFERROR(INDEX('판매구성'!$B$2:$B$501,MATCH(A403,'판매구성'!$A$2:$A$501,0)),""))</f>
        <v/>
      </c>
      <c r="D403" s="2">
        <f>IF(C403="","",IFERROR(INDEX('SKU'!$B$2:$B$501,MATCH(C403,'SKU'!$A$2:$A$501,0)),""))</f>
        <v/>
      </c>
      <c r="F403" s="4">
        <f>IF(OR(C403="",E403=""),"",E403*N(IFERROR(INDEX('SKU'!$E$2:$E$501,MATCH(C403,'SKU'!$A$2:$A$501,0)),"")))</f>
        <v/>
      </c>
    </row>
    <row r="404">
      <c r="B404" s="2">
        <f>IF(A404="","",IFERROR(INDEX('판매구성'!$B$2:$B$501,MATCH(A404,'판매구성'!$A$2:$A$501,0)),""))</f>
        <v/>
      </c>
      <c r="D404" s="2">
        <f>IF(C404="","",IFERROR(INDEX('SKU'!$B$2:$B$501,MATCH(C404,'SKU'!$A$2:$A$501,0)),""))</f>
        <v/>
      </c>
      <c r="F404" s="4">
        <f>IF(OR(C404="",E404=""),"",E404*N(IFERROR(INDEX('SKU'!$E$2:$E$501,MATCH(C404,'SKU'!$A$2:$A$501,0)),"")))</f>
        <v/>
      </c>
    </row>
    <row r="405">
      <c r="B405" s="2">
        <f>IF(A405="","",IFERROR(INDEX('판매구성'!$B$2:$B$501,MATCH(A405,'판매구성'!$A$2:$A$501,0)),""))</f>
        <v/>
      </c>
      <c r="D405" s="2">
        <f>IF(C405="","",IFERROR(INDEX('SKU'!$B$2:$B$501,MATCH(C405,'SKU'!$A$2:$A$501,0)),""))</f>
        <v/>
      </c>
      <c r="F405" s="4">
        <f>IF(OR(C405="",E405=""),"",E405*N(IFERROR(INDEX('SKU'!$E$2:$E$501,MATCH(C405,'SKU'!$A$2:$A$501,0)),"")))</f>
        <v/>
      </c>
    </row>
    <row r="406">
      <c r="B406" s="2">
        <f>IF(A406="","",IFERROR(INDEX('판매구성'!$B$2:$B$501,MATCH(A406,'판매구성'!$A$2:$A$501,0)),""))</f>
        <v/>
      </c>
      <c r="D406" s="2">
        <f>IF(C406="","",IFERROR(INDEX('SKU'!$B$2:$B$501,MATCH(C406,'SKU'!$A$2:$A$501,0)),""))</f>
        <v/>
      </c>
      <c r="F406" s="4">
        <f>IF(OR(C406="",E406=""),"",E406*N(IFERROR(INDEX('SKU'!$E$2:$E$501,MATCH(C406,'SKU'!$A$2:$A$501,0)),"")))</f>
        <v/>
      </c>
    </row>
    <row r="407">
      <c r="B407" s="2">
        <f>IF(A407="","",IFERROR(INDEX('판매구성'!$B$2:$B$501,MATCH(A407,'판매구성'!$A$2:$A$501,0)),""))</f>
        <v/>
      </c>
      <c r="D407" s="2">
        <f>IF(C407="","",IFERROR(INDEX('SKU'!$B$2:$B$501,MATCH(C407,'SKU'!$A$2:$A$501,0)),""))</f>
        <v/>
      </c>
      <c r="F407" s="4">
        <f>IF(OR(C407="",E407=""),"",E407*N(IFERROR(INDEX('SKU'!$E$2:$E$501,MATCH(C407,'SKU'!$A$2:$A$501,0)),"")))</f>
        <v/>
      </c>
    </row>
    <row r="408">
      <c r="B408" s="2">
        <f>IF(A408="","",IFERROR(INDEX('판매구성'!$B$2:$B$501,MATCH(A408,'판매구성'!$A$2:$A$501,0)),""))</f>
        <v/>
      </c>
      <c r="D408" s="2">
        <f>IF(C408="","",IFERROR(INDEX('SKU'!$B$2:$B$501,MATCH(C408,'SKU'!$A$2:$A$501,0)),""))</f>
        <v/>
      </c>
      <c r="F408" s="4">
        <f>IF(OR(C408="",E408=""),"",E408*N(IFERROR(INDEX('SKU'!$E$2:$E$501,MATCH(C408,'SKU'!$A$2:$A$501,0)),"")))</f>
        <v/>
      </c>
    </row>
    <row r="409">
      <c r="B409" s="2">
        <f>IF(A409="","",IFERROR(INDEX('판매구성'!$B$2:$B$501,MATCH(A409,'판매구성'!$A$2:$A$501,0)),""))</f>
        <v/>
      </c>
      <c r="D409" s="2">
        <f>IF(C409="","",IFERROR(INDEX('SKU'!$B$2:$B$501,MATCH(C409,'SKU'!$A$2:$A$501,0)),""))</f>
        <v/>
      </c>
      <c r="F409" s="4">
        <f>IF(OR(C409="",E409=""),"",E409*N(IFERROR(INDEX('SKU'!$E$2:$E$501,MATCH(C409,'SKU'!$A$2:$A$501,0)),"")))</f>
        <v/>
      </c>
    </row>
    <row r="410">
      <c r="B410" s="2">
        <f>IF(A410="","",IFERROR(INDEX('판매구성'!$B$2:$B$501,MATCH(A410,'판매구성'!$A$2:$A$501,0)),""))</f>
        <v/>
      </c>
      <c r="D410" s="2">
        <f>IF(C410="","",IFERROR(INDEX('SKU'!$B$2:$B$501,MATCH(C410,'SKU'!$A$2:$A$501,0)),""))</f>
        <v/>
      </c>
      <c r="F410" s="4">
        <f>IF(OR(C410="",E410=""),"",E410*N(IFERROR(INDEX('SKU'!$E$2:$E$501,MATCH(C410,'SKU'!$A$2:$A$501,0)),"")))</f>
        <v/>
      </c>
    </row>
    <row r="411">
      <c r="B411" s="2">
        <f>IF(A411="","",IFERROR(INDEX('판매구성'!$B$2:$B$501,MATCH(A411,'판매구성'!$A$2:$A$501,0)),""))</f>
        <v/>
      </c>
      <c r="D411" s="2">
        <f>IF(C411="","",IFERROR(INDEX('SKU'!$B$2:$B$501,MATCH(C411,'SKU'!$A$2:$A$501,0)),""))</f>
        <v/>
      </c>
      <c r="F411" s="4">
        <f>IF(OR(C411="",E411=""),"",E411*N(IFERROR(INDEX('SKU'!$E$2:$E$501,MATCH(C411,'SKU'!$A$2:$A$501,0)),"")))</f>
        <v/>
      </c>
    </row>
    <row r="412">
      <c r="B412" s="2">
        <f>IF(A412="","",IFERROR(INDEX('판매구성'!$B$2:$B$501,MATCH(A412,'판매구성'!$A$2:$A$501,0)),""))</f>
        <v/>
      </c>
      <c r="D412" s="2">
        <f>IF(C412="","",IFERROR(INDEX('SKU'!$B$2:$B$501,MATCH(C412,'SKU'!$A$2:$A$501,0)),""))</f>
        <v/>
      </c>
      <c r="F412" s="4">
        <f>IF(OR(C412="",E412=""),"",E412*N(IFERROR(INDEX('SKU'!$E$2:$E$501,MATCH(C412,'SKU'!$A$2:$A$501,0)),"")))</f>
        <v/>
      </c>
    </row>
    <row r="413">
      <c r="B413" s="2">
        <f>IF(A413="","",IFERROR(INDEX('판매구성'!$B$2:$B$501,MATCH(A413,'판매구성'!$A$2:$A$501,0)),""))</f>
        <v/>
      </c>
      <c r="D413" s="2">
        <f>IF(C413="","",IFERROR(INDEX('SKU'!$B$2:$B$501,MATCH(C413,'SKU'!$A$2:$A$501,0)),""))</f>
        <v/>
      </c>
      <c r="F413" s="4">
        <f>IF(OR(C413="",E413=""),"",E413*N(IFERROR(INDEX('SKU'!$E$2:$E$501,MATCH(C413,'SKU'!$A$2:$A$501,0)),"")))</f>
        <v/>
      </c>
    </row>
    <row r="414">
      <c r="B414" s="2">
        <f>IF(A414="","",IFERROR(INDEX('판매구성'!$B$2:$B$501,MATCH(A414,'판매구성'!$A$2:$A$501,0)),""))</f>
        <v/>
      </c>
      <c r="D414" s="2">
        <f>IF(C414="","",IFERROR(INDEX('SKU'!$B$2:$B$501,MATCH(C414,'SKU'!$A$2:$A$501,0)),""))</f>
        <v/>
      </c>
      <c r="F414" s="4">
        <f>IF(OR(C414="",E414=""),"",E414*N(IFERROR(INDEX('SKU'!$E$2:$E$501,MATCH(C414,'SKU'!$A$2:$A$501,0)),"")))</f>
        <v/>
      </c>
    </row>
    <row r="415">
      <c r="B415" s="2">
        <f>IF(A415="","",IFERROR(INDEX('판매구성'!$B$2:$B$501,MATCH(A415,'판매구성'!$A$2:$A$501,0)),""))</f>
        <v/>
      </c>
      <c r="D415" s="2">
        <f>IF(C415="","",IFERROR(INDEX('SKU'!$B$2:$B$501,MATCH(C415,'SKU'!$A$2:$A$501,0)),""))</f>
        <v/>
      </c>
      <c r="F415" s="4">
        <f>IF(OR(C415="",E415=""),"",E415*N(IFERROR(INDEX('SKU'!$E$2:$E$501,MATCH(C415,'SKU'!$A$2:$A$501,0)),"")))</f>
        <v/>
      </c>
    </row>
    <row r="416">
      <c r="B416" s="2">
        <f>IF(A416="","",IFERROR(INDEX('판매구성'!$B$2:$B$501,MATCH(A416,'판매구성'!$A$2:$A$501,0)),""))</f>
        <v/>
      </c>
      <c r="D416" s="2">
        <f>IF(C416="","",IFERROR(INDEX('SKU'!$B$2:$B$501,MATCH(C416,'SKU'!$A$2:$A$501,0)),""))</f>
        <v/>
      </c>
      <c r="F416" s="4">
        <f>IF(OR(C416="",E416=""),"",E416*N(IFERROR(INDEX('SKU'!$E$2:$E$501,MATCH(C416,'SKU'!$A$2:$A$501,0)),"")))</f>
        <v/>
      </c>
    </row>
    <row r="417">
      <c r="B417" s="2">
        <f>IF(A417="","",IFERROR(INDEX('판매구성'!$B$2:$B$501,MATCH(A417,'판매구성'!$A$2:$A$501,0)),""))</f>
        <v/>
      </c>
      <c r="D417" s="2">
        <f>IF(C417="","",IFERROR(INDEX('SKU'!$B$2:$B$501,MATCH(C417,'SKU'!$A$2:$A$501,0)),""))</f>
        <v/>
      </c>
      <c r="F417" s="4">
        <f>IF(OR(C417="",E417=""),"",E417*N(IFERROR(INDEX('SKU'!$E$2:$E$501,MATCH(C417,'SKU'!$A$2:$A$501,0)),"")))</f>
        <v/>
      </c>
    </row>
    <row r="418">
      <c r="B418" s="2">
        <f>IF(A418="","",IFERROR(INDEX('판매구성'!$B$2:$B$501,MATCH(A418,'판매구성'!$A$2:$A$501,0)),""))</f>
        <v/>
      </c>
      <c r="D418" s="2">
        <f>IF(C418="","",IFERROR(INDEX('SKU'!$B$2:$B$501,MATCH(C418,'SKU'!$A$2:$A$501,0)),""))</f>
        <v/>
      </c>
      <c r="F418" s="4">
        <f>IF(OR(C418="",E418=""),"",E418*N(IFERROR(INDEX('SKU'!$E$2:$E$501,MATCH(C418,'SKU'!$A$2:$A$501,0)),"")))</f>
        <v/>
      </c>
    </row>
    <row r="419">
      <c r="B419" s="2">
        <f>IF(A419="","",IFERROR(INDEX('판매구성'!$B$2:$B$501,MATCH(A419,'판매구성'!$A$2:$A$501,0)),""))</f>
        <v/>
      </c>
      <c r="D419" s="2">
        <f>IF(C419="","",IFERROR(INDEX('SKU'!$B$2:$B$501,MATCH(C419,'SKU'!$A$2:$A$501,0)),""))</f>
        <v/>
      </c>
      <c r="F419" s="4">
        <f>IF(OR(C419="",E419=""),"",E419*N(IFERROR(INDEX('SKU'!$E$2:$E$501,MATCH(C419,'SKU'!$A$2:$A$501,0)),"")))</f>
        <v/>
      </c>
    </row>
    <row r="420">
      <c r="B420" s="2">
        <f>IF(A420="","",IFERROR(INDEX('판매구성'!$B$2:$B$501,MATCH(A420,'판매구성'!$A$2:$A$501,0)),""))</f>
        <v/>
      </c>
      <c r="D420" s="2">
        <f>IF(C420="","",IFERROR(INDEX('SKU'!$B$2:$B$501,MATCH(C420,'SKU'!$A$2:$A$501,0)),""))</f>
        <v/>
      </c>
      <c r="F420" s="4">
        <f>IF(OR(C420="",E420=""),"",E420*N(IFERROR(INDEX('SKU'!$E$2:$E$501,MATCH(C420,'SKU'!$A$2:$A$501,0)),"")))</f>
        <v/>
      </c>
    </row>
    <row r="421">
      <c r="B421" s="2">
        <f>IF(A421="","",IFERROR(INDEX('판매구성'!$B$2:$B$501,MATCH(A421,'판매구성'!$A$2:$A$501,0)),""))</f>
        <v/>
      </c>
      <c r="D421" s="2">
        <f>IF(C421="","",IFERROR(INDEX('SKU'!$B$2:$B$501,MATCH(C421,'SKU'!$A$2:$A$501,0)),""))</f>
        <v/>
      </c>
      <c r="F421" s="4">
        <f>IF(OR(C421="",E421=""),"",E421*N(IFERROR(INDEX('SKU'!$E$2:$E$501,MATCH(C421,'SKU'!$A$2:$A$501,0)),"")))</f>
        <v/>
      </c>
    </row>
    <row r="422">
      <c r="B422" s="2">
        <f>IF(A422="","",IFERROR(INDEX('판매구성'!$B$2:$B$501,MATCH(A422,'판매구성'!$A$2:$A$501,0)),""))</f>
        <v/>
      </c>
      <c r="D422" s="2">
        <f>IF(C422="","",IFERROR(INDEX('SKU'!$B$2:$B$501,MATCH(C422,'SKU'!$A$2:$A$501,0)),""))</f>
        <v/>
      </c>
      <c r="F422" s="4">
        <f>IF(OR(C422="",E422=""),"",E422*N(IFERROR(INDEX('SKU'!$E$2:$E$501,MATCH(C422,'SKU'!$A$2:$A$501,0)),"")))</f>
        <v/>
      </c>
    </row>
    <row r="423">
      <c r="B423" s="2">
        <f>IF(A423="","",IFERROR(INDEX('판매구성'!$B$2:$B$501,MATCH(A423,'판매구성'!$A$2:$A$501,0)),""))</f>
        <v/>
      </c>
      <c r="D423" s="2">
        <f>IF(C423="","",IFERROR(INDEX('SKU'!$B$2:$B$501,MATCH(C423,'SKU'!$A$2:$A$501,0)),""))</f>
        <v/>
      </c>
      <c r="F423" s="4">
        <f>IF(OR(C423="",E423=""),"",E423*N(IFERROR(INDEX('SKU'!$E$2:$E$501,MATCH(C423,'SKU'!$A$2:$A$501,0)),"")))</f>
        <v/>
      </c>
    </row>
    <row r="424">
      <c r="B424" s="2">
        <f>IF(A424="","",IFERROR(INDEX('판매구성'!$B$2:$B$501,MATCH(A424,'판매구성'!$A$2:$A$501,0)),""))</f>
        <v/>
      </c>
      <c r="D424" s="2">
        <f>IF(C424="","",IFERROR(INDEX('SKU'!$B$2:$B$501,MATCH(C424,'SKU'!$A$2:$A$501,0)),""))</f>
        <v/>
      </c>
      <c r="F424" s="4">
        <f>IF(OR(C424="",E424=""),"",E424*N(IFERROR(INDEX('SKU'!$E$2:$E$501,MATCH(C424,'SKU'!$A$2:$A$501,0)),"")))</f>
        <v/>
      </c>
    </row>
    <row r="425">
      <c r="B425" s="2">
        <f>IF(A425="","",IFERROR(INDEX('판매구성'!$B$2:$B$501,MATCH(A425,'판매구성'!$A$2:$A$501,0)),""))</f>
        <v/>
      </c>
      <c r="D425" s="2">
        <f>IF(C425="","",IFERROR(INDEX('SKU'!$B$2:$B$501,MATCH(C425,'SKU'!$A$2:$A$501,0)),""))</f>
        <v/>
      </c>
      <c r="F425" s="4">
        <f>IF(OR(C425="",E425=""),"",E425*N(IFERROR(INDEX('SKU'!$E$2:$E$501,MATCH(C425,'SKU'!$A$2:$A$501,0)),"")))</f>
        <v/>
      </c>
    </row>
    <row r="426">
      <c r="B426" s="2">
        <f>IF(A426="","",IFERROR(INDEX('판매구성'!$B$2:$B$501,MATCH(A426,'판매구성'!$A$2:$A$501,0)),""))</f>
        <v/>
      </c>
      <c r="D426" s="2">
        <f>IF(C426="","",IFERROR(INDEX('SKU'!$B$2:$B$501,MATCH(C426,'SKU'!$A$2:$A$501,0)),""))</f>
        <v/>
      </c>
      <c r="F426" s="4">
        <f>IF(OR(C426="",E426=""),"",E426*N(IFERROR(INDEX('SKU'!$E$2:$E$501,MATCH(C426,'SKU'!$A$2:$A$501,0)),"")))</f>
        <v/>
      </c>
    </row>
    <row r="427">
      <c r="B427" s="2">
        <f>IF(A427="","",IFERROR(INDEX('판매구성'!$B$2:$B$501,MATCH(A427,'판매구성'!$A$2:$A$501,0)),""))</f>
        <v/>
      </c>
      <c r="D427" s="2">
        <f>IF(C427="","",IFERROR(INDEX('SKU'!$B$2:$B$501,MATCH(C427,'SKU'!$A$2:$A$501,0)),""))</f>
        <v/>
      </c>
      <c r="F427" s="4">
        <f>IF(OR(C427="",E427=""),"",E427*N(IFERROR(INDEX('SKU'!$E$2:$E$501,MATCH(C427,'SKU'!$A$2:$A$501,0)),"")))</f>
        <v/>
      </c>
    </row>
    <row r="428">
      <c r="B428" s="2">
        <f>IF(A428="","",IFERROR(INDEX('판매구성'!$B$2:$B$501,MATCH(A428,'판매구성'!$A$2:$A$501,0)),""))</f>
        <v/>
      </c>
      <c r="D428" s="2">
        <f>IF(C428="","",IFERROR(INDEX('SKU'!$B$2:$B$501,MATCH(C428,'SKU'!$A$2:$A$501,0)),""))</f>
        <v/>
      </c>
      <c r="F428" s="4">
        <f>IF(OR(C428="",E428=""),"",E428*N(IFERROR(INDEX('SKU'!$E$2:$E$501,MATCH(C428,'SKU'!$A$2:$A$501,0)),"")))</f>
        <v/>
      </c>
    </row>
    <row r="429">
      <c r="B429" s="2">
        <f>IF(A429="","",IFERROR(INDEX('판매구성'!$B$2:$B$501,MATCH(A429,'판매구성'!$A$2:$A$501,0)),""))</f>
        <v/>
      </c>
      <c r="D429" s="2">
        <f>IF(C429="","",IFERROR(INDEX('SKU'!$B$2:$B$501,MATCH(C429,'SKU'!$A$2:$A$501,0)),""))</f>
        <v/>
      </c>
      <c r="F429" s="4">
        <f>IF(OR(C429="",E429=""),"",E429*N(IFERROR(INDEX('SKU'!$E$2:$E$501,MATCH(C429,'SKU'!$A$2:$A$501,0)),"")))</f>
        <v/>
      </c>
    </row>
    <row r="430">
      <c r="B430" s="2">
        <f>IF(A430="","",IFERROR(INDEX('판매구성'!$B$2:$B$501,MATCH(A430,'판매구성'!$A$2:$A$501,0)),""))</f>
        <v/>
      </c>
      <c r="D430" s="2">
        <f>IF(C430="","",IFERROR(INDEX('SKU'!$B$2:$B$501,MATCH(C430,'SKU'!$A$2:$A$501,0)),""))</f>
        <v/>
      </c>
      <c r="F430" s="4">
        <f>IF(OR(C430="",E430=""),"",E430*N(IFERROR(INDEX('SKU'!$E$2:$E$501,MATCH(C430,'SKU'!$A$2:$A$501,0)),"")))</f>
        <v/>
      </c>
    </row>
    <row r="431">
      <c r="B431" s="2">
        <f>IF(A431="","",IFERROR(INDEX('판매구성'!$B$2:$B$501,MATCH(A431,'판매구성'!$A$2:$A$501,0)),""))</f>
        <v/>
      </c>
      <c r="D431" s="2">
        <f>IF(C431="","",IFERROR(INDEX('SKU'!$B$2:$B$501,MATCH(C431,'SKU'!$A$2:$A$501,0)),""))</f>
        <v/>
      </c>
      <c r="F431" s="4">
        <f>IF(OR(C431="",E431=""),"",E431*N(IFERROR(INDEX('SKU'!$E$2:$E$501,MATCH(C431,'SKU'!$A$2:$A$501,0)),"")))</f>
        <v/>
      </c>
    </row>
    <row r="432">
      <c r="B432" s="2">
        <f>IF(A432="","",IFERROR(INDEX('판매구성'!$B$2:$B$501,MATCH(A432,'판매구성'!$A$2:$A$501,0)),""))</f>
        <v/>
      </c>
      <c r="D432" s="2">
        <f>IF(C432="","",IFERROR(INDEX('SKU'!$B$2:$B$501,MATCH(C432,'SKU'!$A$2:$A$501,0)),""))</f>
        <v/>
      </c>
      <c r="F432" s="4">
        <f>IF(OR(C432="",E432=""),"",E432*N(IFERROR(INDEX('SKU'!$E$2:$E$501,MATCH(C432,'SKU'!$A$2:$A$501,0)),"")))</f>
        <v/>
      </c>
    </row>
    <row r="433">
      <c r="B433" s="2">
        <f>IF(A433="","",IFERROR(INDEX('판매구성'!$B$2:$B$501,MATCH(A433,'판매구성'!$A$2:$A$501,0)),""))</f>
        <v/>
      </c>
      <c r="D433" s="2">
        <f>IF(C433="","",IFERROR(INDEX('SKU'!$B$2:$B$501,MATCH(C433,'SKU'!$A$2:$A$501,0)),""))</f>
        <v/>
      </c>
      <c r="F433" s="4">
        <f>IF(OR(C433="",E433=""),"",E433*N(IFERROR(INDEX('SKU'!$E$2:$E$501,MATCH(C433,'SKU'!$A$2:$A$501,0)),"")))</f>
        <v/>
      </c>
    </row>
    <row r="434">
      <c r="B434" s="2">
        <f>IF(A434="","",IFERROR(INDEX('판매구성'!$B$2:$B$501,MATCH(A434,'판매구성'!$A$2:$A$501,0)),""))</f>
        <v/>
      </c>
      <c r="D434" s="2">
        <f>IF(C434="","",IFERROR(INDEX('SKU'!$B$2:$B$501,MATCH(C434,'SKU'!$A$2:$A$501,0)),""))</f>
        <v/>
      </c>
      <c r="F434" s="4">
        <f>IF(OR(C434="",E434=""),"",E434*N(IFERROR(INDEX('SKU'!$E$2:$E$501,MATCH(C434,'SKU'!$A$2:$A$501,0)),"")))</f>
        <v/>
      </c>
    </row>
    <row r="435">
      <c r="B435" s="2">
        <f>IF(A435="","",IFERROR(INDEX('판매구성'!$B$2:$B$501,MATCH(A435,'판매구성'!$A$2:$A$501,0)),""))</f>
        <v/>
      </c>
      <c r="D435" s="2">
        <f>IF(C435="","",IFERROR(INDEX('SKU'!$B$2:$B$501,MATCH(C435,'SKU'!$A$2:$A$501,0)),""))</f>
        <v/>
      </c>
      <c r="F435" s="4">
        <f>IF(OR(C435="",E435=""),"",E435*N(IFERROR(INDEX('SKU'!$E$2:$E$501,MATCH(C435,'SKU'!$A$2:$A$501,0)),"")))</f>
        <v/>
      </c>
    </row>
    <row r="436">
      <c r="B436" s="2">
        <f>IF(A436="","",IFERROR(INDEX('판매구성'!$B$2:$B$501,MATCH(A436,'판매구성'!$A$2:$A$501,0)),""))</f>
        <v/>
      </c>
      <c r="D436" s="2">
        <f>IF(C436="","",IFERROR(INDEX('SKU'!$B$2:$B$501,MATCH(C436,'SKU'!$A$2:$A$501,0)),""))</f>
        <v/>
      </c>
      <c r="F436" s="4">
        <f>IF(OR(C436="",E436=""),"",E436*N(IFERROR(INDEX('SKU'!$E$2:$E$501,MATCH(C436,'SKU'!$A$2:$A$501,0)),"")))</f>
        <v/>
      </c>
    </row>
    <row r="437">
      <c r="B437" s="2">
        <f>IF(A437="","",IFERROR(INDEX('판매구성'!$B$2:$B$501,MATCH(A437,'판매구성'!$A$2:$A$501,0)),""))</f>
        <v/>
      </c>
      <c r="D437" s="2">
        <f>IF(C437="","",IFERROR(INDEX('SKU'!$B$2:$B$501,MATCH(C437,'SKU'!$A$2:$A$501,0)),""))</f>
        <v/>
      </c>
      <c r="F437" s="4">
        <f>IF(OR(C437="",E437=""),"",E437*N(IFERROR(INDEX('SKU'!$E$2:$E$501,MATCH(C437,'SKU'!$A$2:$A$501,0)),"")))</f>
        <v/>
      </c>
    </row>
    <row r="438">
      <c r="B438" s="2">
        <f>IF(A438="","",IFERROR(INDEX('판매구성'!$B$2:$B$501,MATCH(A438,'판매구성'!$A$2:$A$501,0)),""))</f>
        <v/>
      </c>
      <c r="D438" s="2">
        <f>IF(C438="","",IFERROR(INDEX('SKU'!$B$2:$B$501,MATCH(C438,'SKU'!$A$2:$A$501,0)),""))</f>
        <v/>
      </c>
      <c r="F438" s="4">
        <f>IF(OR(C438="",E438=""),"",E438*N(IFERROR(INDEX('SKU'!$E$2:$E$501,MATCH(C438,'SKU'!$A$2:$A$501,0)),"")))</f>
        <v/>
      </c>
    </row>
    <row r="439">
      <c r="B439" s="2">
        <f>IF(A439="","",IFERROR(INDEX('판매구성'!$B$2:$B$501,MATCH(A439,'판매구성'!$A$2:$A$501,0)),""))</f>
        <v/>
      </c>
      <c r="D439" s="2">
        <f>IF(C439="","",IFERROR(INDEX('SKU'!$B$2:$B$501,MATCH(C439,'SKU'!$A$2:$A$501,0)),""))</f>
        <v/>
      </c>
      <c r="F439" s="4">
        <f>IF(OR(C439="",E439=""),"",E439*N(IFERROR(INDEX('SKU'!$E$2:$E$501,MATCH(C439,'SKU'!$A$2:$A$501,0)),"")))</f>
        <v/>
      </c>
    </row>
    <row r="440">
      <c r="B440" s="2">
        <f>IF(A440="","",IFERROR(INDEX('판매구성'!$B$2:$B$501,MATCH(A440,'판매구성'!$A$2:$A$501,0)),""))</f>
        <v/>
      </c>
      <c r="D440" s="2">
        <f>IF(C440="","",IFERROR(INDEX('SKU'!$B$2:$B$501,MATCH(C440,'SKU'!$A$2:$A$501,0)),""))</f>
        <v/>
      </c>
      <c r="F440" s="4">
        <f>IF(OR(C440="",E440=""),"",E440*N(IFERROR(INDEX('SKU'!$E$2:$E$501,MATCH(C440,'SKU'!$A$2:$A$501,0)),"")))</f>
        <v/>
      </c>
    </row>
    <row r="441">
      <c r="B441" s="2">
        <f>IF(A441="","",IFERROR(INDEX('판매구성'!$B$2:$B$501,MATCH(A441,'판매구성'!$A$2:$A$501,0)),""))</f>
        <v/>
      </c>
      <c r="D441" s="2">
        <f>IF(C441="","",IFERROR(INDEX('SKU'!$B$2:$B$501,MATCH(C441,'SKU'!$A$2:$A$501,0)),""))</f>
        <v/>
      </c>
      <c r="F441" s="4">
        <f>IF(OR(C441="",E441=""),"",E441*N(IFERROR(INDEX('SKU'!$E$2:$E$501,MATCH(C441,'SKU'!$A$2:$A$501,0)),"")))</f>
        <v/>
      </c>
    </row>
    <row r="442">
      <c r="B442" s="2">
        <f>IF(A442="","",IFERROR(INDEX('판매구성'!$B$2:$B$501,MATCH(A442,'판매구성'!$A$2:$A$501,0)),""))</f>
        <v/>
      </c>
      <c r="D442" s="2">
        <f>IF(C442="","",IFERROR(INDEX('SKU'!$B$2:$B$501,MATCH(C442,'SKU'!$A$2:$A$501,0)),""))</f>
        <v/>
      </c>
      <c r="F442" s="4">
        <f>IF(OR(C442="",E442=""),"",E442*N(IFERROR(INDEX('SKU'!$E$2:$E$501,MATCH(C442,'SKU'!$A$2:$A$501,0)),"")))</f>
        <v/>
      </c>
    </row>
    <row r="443">
      <c r="B443" s="2">
        <f>IF(A443="","",IFERROR(INDEX('판매구성'!$B$2:$B$501,MATCH(A443,'판매구성'!$A$2:$A$501,0)),""))</f>
        <v/>
      </c>
      <c r="D443" s="2">
        <f>IF(C443="","",IFERROR(INDEX('SKU'!$B$2:$B$501,MATCH(C443,'SKU'!$A$2:$A$501,0)),""))</f>
        <v/>
      </c>
      <c r="F443" s="4">
        <f>IF(OR(C443="",E443=""),"",E443*N(IFERROR(INDEX('SKU'!$E$2:$E$501,MATCH(C443,'SKU'!$A$2:$A$501,0)),"")))</f>
        <v/>
      </c>
    </row>
    <row r="444">
      <c r="B444" s="2">
        <f>IF(A444="","",IFERROR(INDEX('판매구성'!$B$2:$B$501,MATCH(A444,'판매구성'!$A$2:$A$501,0)),""))</f>
        <v/>
      </c>
      <c r="D444" s="2">
        <f>IF(C444="","",IFERROR(INDEX('SKU'!$B$2:$B$501,MATCH(C444,'SKU'!$A$2:$A$501,0)),""))</f>
        <v/>
      </c>
      <c r="F444" s="4">
        <f>IF(OR(C444="",E444=""),"",E444*N(IFERROR(INDEX('SKU'!$E$2:$E$501,MATCH(C444,'SKU'!$A$2:$A$501,0)),"")))</f>
        <v/>
      </c>
    </row>
    <row r="445">
      <c r="B445" s="2">
        <f>IF(A445="","",IFERROR(INDEX('판매구성'!$B$2:$B$501,MATCH(A445,'판매구성'!$A$2:$A$501,0)),""))</f>
        <v/>
      </c>
      <c r="D445" s="2">
        <f>IF(C445="","",IFERROR(INDEX('SKU'!$B$2:$B$501,MATCH(C445,'SKU'!$A$2:$A$501,0)),""))</f>
        <v/>
      </c>
      <c r="F445" s="4">
        <f>IF(OR(C445="",E445=""),"",E445*N(IFERROR(INDEX('SKU'!$E$2:$E$501,MATCH(C445,'SKU'!$A$2:$A$501,0)),"")))</f>
        <v/>
      </c>
    </row>
    <row r="446">
      <c r="B446" s="2">
        <f>IF(A446="","",IFERROR(INDEX('판매구성'!$B$2:$B$501,MATCH(A446,'판매구성'!$A$2:$A$501,0)),""))</f>
        <v/>
      </c>
      <c r="D446" s="2">
        <f>IF(C446="","",IFERROR(INDEX('SKU'!$B$2:$B$501,MATCH(C446,'SKU'!$A$2:$A$501,0)),""))</f>
        <v/>
      </c>
      <c r="F446" s="4">
        <f>IF(OR(C446="",E446=""),"",E446*N(IFERROR(INDEX('SKU'!$E$2:$E$501,MATCH(C446,'SKU'!$A$2:$A$501,0)),"")))</f>
        <v/>
      </c>
    </row>
    <row r="447">
      <c r="B447" s="2">
        <f>IF(A447="","",IFERROR(INDEX('판매구성'!$B$2:$B$501,MATCH(A447,'판매구성'!$A$2:$A$501,0)),""))</f>
        <v/>
      </c>
      <c r="D447" s="2">
        <f>IF(C447="","",IFERROR(INDEX('SKU'!$B$2:$B$501,MATCH(C447,'SKU'!$A$2:$A$501,0)),""))</f>
        <v/>
      </c>
      <c r="F447" s="4">
        <f>IF(OR(C447="",E447=""),"",E447*N(IFERROR(INDEX('SKU'!$E$2:$E$501,MATCH(C447,'SKU'!$A$2:$A$501,0)),"")))</f>
        <v/>
      </c>
    </row>
    <row r="448">
      <c r="B448" s="2">
        <f>IF(A448="","",IFERROR(INDEX('판매구성'!$B$2:$B$501,MATCH(A448,'판매구성'!$A$2:$A$501,0)),""))</f>
        <v/>
      </c>
      <c r="D448" s="2">
        <f>IF(C448="","",IFERROR(INDEX('SKU'!$B$2:$B$501,MATCH(C448,'SKU'!$A$2:$A$501,0)),""))</f>
        <v/>
      </c>
      <c r="F448" s="4">
        <f>IF(OR(C448="",E448=""),"",E448*N(IFERROR(INDEX('SKU'!$E$2:$E$501,MATCH(C448,'SKU'!$A$2:$A$501,0)),"")))</f>
        <v/>
      </c>
    </row>
    <row r="449">
      <c r="B449" s="2">
        <f>IF(A449="","",IFERROR(INDEX('판매구성'!$B$2:$B$501,MATCH(A449,'판매구성'!$A$2:$A$501,0)),""))</f>
        <v/>
      </c>
      <c r="D449" s="2">
        <f>IF(C449="","",IFERROR(INDEX('SKU'!$B$2:$B$501,MATCH(C449,'SKU'!$A$2:$A$501,0)),""))</f>
        <v/>
      </c>
      <c r="F449" s="4">
        <f>IF(OR(C449="",E449=""),"",E449*N(IFERROR(INDEX('SKU'!$E$2:$E$501,MATCH(C449,'SKU'!$A$2:$A$501,0)),"")))</f>
        <v/>
      </c>
    </row>
    <row r="450">
      <c r="B450" s="2">
        <f>IF(A450="","",IFERROR(INDEX('판매구성'!$B$2:$B$501,MATCH(A450,'판매구성'!$A$2:$A$501,0)),""))</f>
        <v/>
      </c>
      <c r="D450" s="2">
        <f>IF(C450="","",IFERROR(INDEX('SKU'!$B$2:$B$501,MATCH(C450,'SKU'!$A$2:$A$501,0)),""))</f>
        <v/>
      </c>
      <c r="F450" s="4">
        <f>IF(OR(C450="",E450=""),"",E450*N(IFERROR(INDEX('SKU'!$E$2:$E$501,MATCH(C450,'SKU'!$A$2:$A$501,0)),"")))</f>
        <v/>
      </c>
    </row>
    <row r="451">
      <c r="B451" s="2">
        <f>IF(A451="","",IFERROR(INDEX('판매구성'!$B$2:$B$501,MATCH(A451,'판매구성'!$A$2:$A$501,0)),""))</f>
        <v/>
      </c>
      <c r="D451" s="2">
        <f>IF(C451="","",IFERROR(INDEX('SKU'!$B$2:$B$501,MATCH(C451,'SKU'!$A$2:$A$501,0)),""))</f>
        <v/>
      </c>
      <c r="F451" s="4">
        <f>IF(OR(C451="",E451=""),"",E451*N(IFERROR(INDEX('SKU'!$E$2:$E$501,MATCH(C451,'SKU'!$A$2:$A$501,0)),"")))</f>
        <v/>
      </c>
    </row>
    <row r="452">
      <c r="B452" s="2">
        <f>IF(A452="","",IFERROR(INDEX('판매구성'!$B$2:$B$501,MATCH(A452,'판매구성'!$A$2:$A$501,0)),""))</f>
        <v/>
      </c>
      <c r="D452" s="2">
        <f>IF(C452="","",IFERROR(INDEX('SKU'!$B$2:$B$501,MATCH(C452,'SKU'!$A$2:$A$501,0)),""))</f>
        <v/>
      </c>
      <c r="F452" s="4">
        <f>IF(OR(C452="",E452=""),"",E452*N(IFERROR(INDEX('SKU'!$E$2:$E$501,MATCH(C452,'SKU'!$A$2:$A$501,0)),"")))</f>
        <v/>
      </c>
    </row>
    <row r="453">
      <c r="B453" s="2">
        <f>IF(A453="","",IFERROR(INDEX('판매구성'!$B$2:$B$501,MATCH(A453,'판매구성'!$A$2:$A$501,0)),""))</f>
        <v/>
      </c>
      <c r="D453" s="2">
        <f>IF(C453="","",IFERROR(INDEX('SKU'!$B$2:$B$501,MATCH(C453,'SKU'!$A$2:$A$501,0)),""))</f>
        <v/>
      </c>
      <c r="F453" s="4">
        <f>IF(OR(C453="",E453=""),"",E453*N(IFERROR(INDEX('SKU'!$E$2:$E$501,MATCH(C453,'SKU'!$A$2:$A$501,0)),"")))</f>
        <v/>
      </c>
    </row>
    <row r="454">
      <c r="B454" s="2">
        <f>IF(A454="","",IFERROR(INDEX('판매구성'!$B$2:$B$501,MATCH(A454,'판매구성'!$A$2:$A$501,0)),""))</f>
        <v/>
      </c>
      <c r="D454" s="2">
        <f>IF(C454="","",IFERROR(INDEX('SKU'!$B$2:$B$501,MATCH(C454,'SKU'!$A$2:$A$501,0)),""))</f>
        <v/>
      </c>
      <c r="F454" s="4">
        <f>IF(OR(C454="",E454=""),"",E454*N(IFERROR(INDEX('SKU'!$E$2:$E$501,MATCH(C454,'SKU'!$A$2:$A$501,0)),"")))</f>
        <v/>
      </c>
    </row>
    <row r="455">
      <c r="B455" s="2">
        <f>IF(A455="","",IFERROR(INDEX('판매구성'!$B$2:$B$501,MATCH(A455,'판매구성'!$A$2:$A$501,0)),""))</f>
        <v/>
      </c>
      <c r="D455" s="2">
        <f>IF(C455="","",IFERROR(INDEX('SKU'!$B$2:$B$501,MATCH(C455,'SKU'!$A$2:$A$501,0)),""))</f>
        <v/>
      </c>
      <c r="F455" s="4">
        <f>IF(OR(C455="",E455=""),"",E455*N(IFERROR(INDEX('SKU'!$E$2:$E$501,MATCH(C455,'SKU'!$A$2:$A$501,0)),"")))</f>
        <v/>
      </c>
    </row>
    <row r="456">
      <c r="B456" s="2">
        <f>IF(A456="","",IFERROR(INDEX('판매구성'!$B$2:$B$501,MATCH(A456,'판매구성'!$A$2:$A$501,0)),""))</f>
        <v/>
      </c>
      <c r="D456" s="2">
        <f>IF(C456="","",IFERROR(INDEX('SKU'!$B$2:$B$501,MATCH(C456,'SKU'!$A$2:$A$501,0)),""))</f>
        <v/>
      </c>
      <c r="F456" s="4">
        <f>IF(OR(C456="",E456=""),"",E456*N(IFERROR(INDEX('SKU'!$E$2:$E$501,MATCH(C456,'SKU'!$A$2:$A$501,0)),"")))</f>
        <v/>
      </c>
    </row>
    <row r="457">
      <c r="B457" s="2">
        <f>IF(A457="","",IFERROR(INDEX('판매구성'!$B$2:$B$501,MATCH(A457,'판매구성'!$A$2:$A$501,0)),""))</f>
        <v/>
      </c>
      <c r="D457" s="2">
        <f>IF(C457="","",IFERROR(INDEX('SKU'!$B$2:$B$501,MATCH(C457,'SKU'!$A$2:$A$501,0)),""))</f>
        <v/>
      </c>
      <c r="F457" s="4">
        <f>IF(OR(C457="",E457=""),"",E457*N(IFERROR(INDEX('SKU'!$E$2:$E$501,MATCH(C457,'SKU'!$A$2:$A$501,0)),"")))</f>
        <v/>
      </c>
    </row>
    <row r="458">
      <c r="B458" s="2">
        <f>IF(A458="","",IFERROR(INDEX('판매구성'!$B$2:$B$501,MATCH(A458,'판매구성'!$A$2:$A$501,0)),""))</f>
        <v/>
      </c>
      <c r="D458" s="2">
        <f>IF(C458="","",IFERROR(INDEX('SKU'!$B$2:$B$501,MATCH(C458,'SKU'!$A$2:$A$501,0)),""))</f>
        <v/>
      </c>
      <c r="F458" s="4">
        <f>IF(OR(C458="",E458=""),"",E458*N(IFERROR(INDEX('SKU'!$E$2:$E$501,MATCH(C458,'SKU'!$A$2:$A$501,0)),"")))</f>
        <v/>
      </c>
    </row>
    <row r="459">
      <c r="B459" s="2">
        <f>IF(A459="","",IFERROR(INDEX('판매구성'!$B$2:$B$501,MATCH(A459,'판매구성'!$A$2:$A$501,0)),""))</f>
        <v/>
      </c>
      <c r="D459" s="2">
        <f>IF(C459="","",IFERROR(INDEX('SKU'!$B$2:$B$501,MATCH(C459,'SKU'!$A$2:$A$501,0)),""))</f>
        <v/>
      </c>
      <c r="F459" s="4">
        <f>IF(OR(C459="",E459=""),"",E459*N(IFERROR(INDEX('SKU'!$E$2:$E$501,MATCH(C459,'SKU'!$A$2:$A$501,0)),"")))</f>
        <v/>
      </c>
    </row>
    <row r="460">
      <c r="B460" s="2">
        <f>IF(A460="","",IFERROR(INDEX('판매구성'!$B$2:$B$501,MATCH(A460,'판매구성'!$A$2:$A$501,0)),""))</f>
        <v/>
      </c>
      <c r="D460" s="2">
        <f>IF(C460="","",IFERROR(INDEX('SKU'!$B$2:$B$501,MATCH(C460,'SKU'!$A$2:$A$501,0)),""))</f>
        <v/>
      </c>
      <c r="F460" s="4">
        <f>IF(OR(C460="",E460=""),"",E460*N(IFERROR(INDEX('SKU'!$E$2:$E$501,MATCH(C460,'SKU'!$A$2:$A$501,0)),"")))</f>
        <v/>
      </c>
    </row>
    <row r="461">
      <c r="B461" s="2">
        <f>IF(A461="","",IFERROR(INDEX('판매구성'!$B$2:$B$501,MATCH(A461,'판매구성'!$A$2:$A$501,0)),""))</f>
        <v/>
      </c>
      <c r="D461" s="2">
        <f>IF(C461="","",IFERROR(INDEX('SKU'!$B$2:$B$501,MATCH(C461,'SKU'!$A$2:$A$501,0)),""))</f>
        <v/>
      </c>
      <c r="F461" s="4">
        <f>IF(OR(C461="",E461=""),"",E461*N(IFERROR(INDEX('SKU'!$E$2:$E$501,MATCH(C461,'SKU'!$A$2:$A$501,0)),"")))</f>
        <v/>
      </c>
    </row>
    <row r="462">
      <c r="B462" s="2">
        <f>IF(A462="","",IFERROR(INDEX('판매구성'!$B$2:$B$501,MATCH(A462,'판매구성'!$A$2:$A$501,0)),""))</f>
        <v/>
      </c>
      <c r="D462" s="2">
        <f>IF(C462="","",IFERROR(INDEX('SKU'!$B$2:$B$501,MATCH(C462,'SKU'!$A$2:$A$501,0)),""))</f>
        <v/>
      </c>
      <c r="F462" s="4">
        <f>IF(OR(C462="",E462=""),"",E462*N(IFERROR(INDEX('SKU'!$E$2:$E$501,MATCH(C462,'SKU'!$A$2:$A$501,0)),"")))</f>
        <v/>
      </c>
    </row>
    <row r="463">
      <c r="B463" s="2">
        <f>IF(A463="","",IFERROR(INDEX('판매구성'!$B$2:$B$501,MATCH(A463,'판매구성'!$A$2:$A$501,0)),""))</f>
        <v/>
      </c>
      <c r="D463" s="2">
        <f>IF(C463="","",IFERROR(INDEX('SKU'!$B$2:$B$501,MATCH(C463,'SKU'!$A$2:$A$501,0)),""))</f>
        <v/>
      </c>
      <c r="F463" s="4">
        <f>IF(OR(C463="",E463=""),"",E463*N(IFERROR(INDEX('SKU'!$E$2:$E$501,MATCH(C463,'SKU'!$A$2:$A$501,0)),"")))</f>
        <v/>
      </c>
    </row>
    <row r="464">
      <c r="B464" s="2">
        <f>IF(A464="","",IFERROR(INDEX('판매구성'!$B$2:$B$501,MATCH(A464,'판매구성'!$A$2:$A$501,0)),""))</f>
        <v/>
      </c>
      <c r="D464" s="2">
        <f>IF(C464="","",IFERROR(INDEX('SKU'!$B$2:$B$501,MATCH(C464,'SKU'!$A$2:$A$501,0)),""))</f>
        <v/>
      </c>
      <c r="F464" s="4">
        <f>IF(OR(C464="",E464=""),"",E464*N(IFERROR(INDEX('SKU'!$E$2:$E$501,MATCH(C464,'SKU'!$A$2:$A$501,0)),"")))</f>
        <v/>
      </c>
    </row>
    <row r="465">
      <c r="B465" s="2">
        <f>IF(A465="","",IFERROR(INDEX('판매구성'!$B$2:$B$501,MATCH(A465,'판매구성'!$A$2:$A$501,0)),""))</f>
        <v/>
      </c>
      <c r="D465" s="2">
        <f>IF(C465="","",IFERROR(INDEX('SKU'!$B$2:$B$501,MATCH(C465,'SKU'!$A$2:$A$501,0)),""))</f>
        <v/>
      </c>
      <c r="F465" s="4">
        <f>IF(OR(C465="",E465=""),"",E465*N(IFERROR(INDEX('SKU'!$E$2:$E$501,MATCH(C465,'SKU'!$A$2:$A$501,0)),"")))</f>
        <v/>
      </c>
    </row>
    <row r="466">
      <c r="B466" s="2">
        <f>IF(A466="","",IFERROR(INDEX('판매구성'!$B$2:$B$501,MATCH(A466,'판매구성'!$A$2:$A$501,0)),""))</f>
        <v/>
      </c>
      <c r="D466" s="2">
        <f>IF(C466="","",IFERROR(INDEX('SKU'!$B$2:$B$501,MATCH(C466,'SKU'!$A$2:$A$501,0)),""))</f>
        <v/>
      </c>
      <c r="F466" s="4">
        <f>IF(OR(C466="",E466=""),"",E466*N(IFERROR(INDEX('SKU'!$E$2:$E$501,MATCH(C466,'SKU'!$A$2:$A$501,0)),"")))</f>
        <v/>
      </c>
    </row>
    <row r="467">
      <c r="B467" s="2">
        <f>IF(A467="","",IFERROR(INDEX('판매구성'!$B$2:$B$501,MATCH(A467,'판매구성'!$A$2:$A$501,0)),""))</f>
        <v/>
      </c>
      <c r="D467" s="2">
        <f>IF(C467="","",IFERROR(INDEX('SKU'!$B$2:$B$501,MATCH(C467,'SKU'!$A$2:$A$501,0)),""))</f>
        <v/>
      </c>
      <c r="F467" s="4">
        <f>IF(OR(C467="",E467=""),"",E467*N(IFERROR(INDEX('SKU'!$E$2:$E$501,MATCH(C467,'SKU'!$A$2:$A$501,0)),"")))</f>
        <v/>
      </c>
    </row>
    <row r="468">
      <c r="B468" s="2">
        <f>IF(A468="","",IFERROR(INDEX('판매구성'!$B$2:$B$501,MATCH(A468,'판매구성'!$A$2:$A$501,0)),""))</f>
        <v/>
      </c>
      <c r="D468" s="2">
        <f>IF(C468="","",IFERROR(INDEX('SKU'!$B$2:$B$501,MATCH(C468,'SKU'!$A$2:$A$501,0)),""))</f>
        <v/>
      </c>
      <c r="F468" s="4">
        <f>IF(OR(C468="",E468=""),"",E468*N(IFERROR(INDEX('SKU'!$E$2:$E$501,MATCH(C468,'SKU'!$A$2:$A$501,0)),"")))</f>
        <v/>
      </c>
    </row>
    <row r="469">
      <c r="B469" s="2">
        <f>IF(A469="","",IFERROR(INDEX('판매구성'!$B$2:$B$501,MATCH(A469,'판매구성'!$A$2:$A$501,0)),""))</f>
        <v/>
      </c>
      <c r="D469" s="2">
        <f>IF(C469="","",IFERROR(INDEX('SKU'!$B$2:$B$501,MATCH(C469,'SKU'!$A$2:$A$501,0)),""))</f>
        <v/>
      </c>
      <c r="F469" s="4">
        <f>IF(OR(C469="",E469=""),"",E469*N(IFERROR(INDEX('SKU'!$E$2:$E$501,MATCH(C469,'SKU'!$A$2:$A$501,0)),"")))</f>
        <v/>
      </c>
    </row>
    <row r="470">
      <c r="B470" s="2">
        <f>IF(A470="","",IFERROR(INDEX('판매구성'!$B$2:$B$501,MATCH(A470,'판매구성'!$A$2:$A$501,0)),""))</f>
        <v/>
      </c>
      <c r="D470" s="2">
        <f>IF(C470="","",IFERROR(INDEX('SKU'!$B$2:$B$501,MATCH(C470,'SKU'!$A$2:$A$501,0)),""))</f>
        <v/>
      </c>
      <c r="F470" s="4">
        <f>IF(OR(C470="",E470=""),"",E470*N(IFERROR(INDEX('SKU'!$E$2:$E$501,MATCH(C470,'SKU'!$A$2:$A$501,0)),"")))</f>
        <v/>
      </c>
    </row>
    <row r="471">
      <c r="B471" s="2">
        <f>IF(A471="","",IFERROR(INDEX('판매구성'!$B$2:$B$501,MATCH(A471,'판매구성'!$A$2:$A$501,0)),""))</f>
        <v/>
      </c>
      <c r="D471" s="2">
        <f>IF(C471="","",IFERROR(INDEX('SKU'!$B$2:$B$501,MATCH(C471,'SKU'!$A$2:$A$501,0)),""))</f>
        <v/>
      </c>
      <c r="F471" s="4">
        <f>IF(OR(C471="",E471=""),"",E471*N(IFERROR(INDEX('SKU'!$E$2:$E$501,MATCH(C471,'SKU'!$A$2:$A$501,0)),"")))</f>
        <v/>
      </c>
    </row>
    <row r="472">
      <c r="B472" s="2">
        <f>IF(A472="","",IFERROR(INDEX('판매구성'!$B$2:$B$501,MATCH(A472,'판매구성'!$A$2:$A$501,0)),""))</f>
        <v/>
      </c>
      <c r="D472" s="2">
        <f>IF(C472="","",IFERROR(INDEX('SKU'!$B$2:$B$501,MATCH(C472,'SKU'!$A$2:$A$501,0)),""))</f>
        <v/>
      </c>
      <c r="F472" s="4">
        <f>IF(OR(C472="",E472=""),"",E472*N(IFERROR(INDEX('SKU'!$E$2:$E$501,MATCH(C472,'SKU'!$A$2:$A$501,0)),"")))</f>
        <v/>
      </c>
    </row>
    <row r="473">
      <c r="B473" s="2">
        <f>IF(A473="","",IFERROR(INDEX('판매구성'!$B$2:$B$501,MATCH(A473,'판매구성'!$A$2:$A$501,0)),""))</f>
        <v/>
      </c>
      <c r="D473" s="2">
        <f>IF(C473="","",IFERROR(INDEX('SKU'!$B$2:$B$501,MATCH(C473,'SKU'!$A$2:$A$501,0)),""))</f>
        <v/>
      </c>
      <c r="F473" s="4">
        <f>IF(OR(C473="",E473=""),"",E473*N(IFERROR(INDEX('SKU'!$E$2:$E$501,MATCH(C473,'SKU'!$A$2:$A$501,0)),"")))</f>
        <v/>
      </c>
    </row>
    <row r="474">
      <c r="B474" s="2">
        <f>IF(A474="","",IFERROR(INDEX('판매구성'!$B$2:$B$501,MATCH(A474,'판매구성'!$A$2:$A$501,0)),""))</f>
        <v/>
      </c>
      <c r="D474" s="2">
        <f>IF(C474="","",IFERROR(INDEX('SKU'!$B$2:$B$501,MATCH(C474,'SKU'!$A$2:$A$501,0)),""))</f>
        <v/>
      </c>
      <c r="F474" s="4">
        <f>IF(OR(C474="",E474=""),"",E474*N(IFERROR(INDEX('SKU'!$E$2:$E$501,MATCH(C474,'SKU'!$A$2:$A$501,0)),"")))</f>
        <v/>
      </c>
    </row>
    <row r="475">
      <c r="B475" s="2">
        <f>IF(A475="","",IFERROR(INDEX('판매구성'!$B$2:$B$501,MATCH(A475,'판매구성'!$A$2:$A$501,0)),""))</f>
        <v/>
      </c>
      <c r="D475" s="2">
        <f>IF(C475="","",IFERROR(INDEX('SKU'!$B$2:$B$501,MATCH(C475,'SKU'!$A$2:$A$501,0)),""))</f>
        <v/>
      </c>
      <c r="F475" s="4">
        <f>IF(OR(C475="",E475=""),"",E475*N(IFERROR(INDEX('SKU'!$E$2:$E$501,MATCH(C475,'SKU'!$A$2:$A$501,0)),"")))</f>
        <v/>
      </c>
    </row>
    <row r="476">
      <c r="B476" s="2">
        <f>IF(A476="","",IFERROR(INDEX('판매구성'!$B$2:$B$501,MATCH(A476,'판매구성'!$A$2:$A$501,0)),""))</f>
        <v/>
      </c>
      <c r="D476" s="2">
        <f>IF(C476="","",IFERROR(INDEX('SKU'!$B$2:$B$501,MATCH(C476,'SKU'!$A$2:$A$501,0)),""))</f>
        <v/>
      </c>
      <c r="F476" s="4">
        <f>IF(OR(C476="",E476=""),"",E476*N(IFERROR(INDEX('SKU'!$E$2:$E$501,MATCH(C476,'SKU'!$A$2:$A$501,0)),"")))</f>
        <v/>
      </c>
    </row>
    <row r="477">
      <c r="B477" s="2">
        <f>IF(A477="","",IFERROR(INDEX('판매구성'!$B$2:$B$501,MATCH(A477,'판매구성'!$A$2:$A$501,0)),""))</f>
        <v/>
      </c>
      <c r="D477" s="2">
        <f>IF(C477="","",IFERROR(INDEX('SKU'!$B$2:$B$501,MATCH(C477,'SKU'!$A$2:$A$501,0)),""))</f>
        <v/>
      </c>
      <c r="F477" s="4">
        <f>IF(OR(C477="",E477=""),"",E477*N(IFERROR(INDEX('SKU'!$E$2:$E$501,MATCH(C477,'SKU'!$A$2:$A$501,0)),"")))</f>
        <v/>
      </c>
    </row>
    <row r="478">
      <c r="B478" s="2">
        <f>IF(A478="","",IFERROR(INDEX('판매구성'!$B$2:$B$501,MATCH(A478,'판매구성'!$A$2:$A$501,0)),""))</f>
        <v/>
      </c>
      <c r="D478" s="2">
        <f>IF(C478="","",IFERROR(INDEX('SKU'!$B$2:$B$501,MATCH(C478,'SKU'!$A$2:$A$501,0)),""))</f>
        <v/>
      </c>
      <c r="F478" s="4">
        <f>IF(OR(C478="",E478=""),"",E478*N(IFERROR(INDEX('SKU'!$E$2:$E$501,MATCH(C478,'SKU'!$A$2:$A$501,0)),"")))</f>
        <v/>
      </c>
    </row>
    <row r="479">
      <c r="B479" s="2">
        <f>IF(A479="","",IFERROR(INDEX('판매구성'!$B$2:$B$501,MATCH(A479,'판매구성'!$A$2:$A$501,0)),""))</f>
        <v/>
      </c>
      <c r="D479" s="2">
        <f>IF(C479="","",IFERROR(INDEX('SKU'!$B$2:$B$501,MATCH(C479,'SKU'!$A$2:$A$501,0)),""))</f>
        <v/>
      </c>
      <c r="F479" s="4">
        <f>IF(OR(C479="",E479=""),"",E479*N(IFERROR(INDEX('SKU'!$E$2:$E$501,MATCH(C479,'SKU'!$A$2:$A$501,0)),"")))</f>
        <v/>
      </c>
    </row>
    <row r="480">
      <c r="B480" s="2">
        <f>IF(A480="","",IFERROR(INDEX('판매구성'!$B$2:$B$501,MATCH(A480,'판매구성'!$A$2:$A$501,0)),""))</f>
        <v/>
      </c>
      <c r="D480" s="2">
        <f>IF(C480="","",IFERROR(INDEX('SKU'!$B$2:$B$501,MATCH(C480,'SKU'!$A$2:$A$501,0)),""))</f>
        <v/>
      </c>
      <c r="F480" s="4">
        <f>IF(OR(C480="",E480=""),"",E480*N(IFERROR(INDEX('SKU'!$E$2:$E$501,MATCH(C480,'SKU'!$A$2:$A$501,0)),"")))</f>
        <v/>
      </c>
    </row>
    <row r="481">
      <c r="B481" s="2">
        <f>IF(A481="","",IFERROR(INDEX('판매구성'!$B$2:$B$501,MATCH(A481,'판매구성'!$A$2:$A$501,0)),""))</f>
        <v/>
      </c>
      <c r="D481" s="2">
        <f>IF(C481="","",IFERROR(INDEX('SKU'!$B$2:$B$501,MATCH(C481,'SKU'!$A$2:$A$501,0)),""))</f>
        <v/>
      </c>
      <c r="F481" s="4">
        <f>IF(OR(C481="",E481=""),"",E481*N(IFERROR(INDEX('SKU'!$E$2:$E$501,MATCH(C481,'SKU'!$A$2:$A$501,0)),"")))</f>
        <v/>
      </c>
    </row>
    <row r="482">
      <c r="B482" s="2">
        <f>IF(A482="","",IFERROR(INDEX('판매구성'!$B$2:$B$501,MATCH(A482,'판매구성'!$A$2:$A$501,0)),""))</f>
        <v/>
      </c>
      <c r="D482" s="2">
        <f>IF(C482="","",IFERROR(INDEX('SKU'!$B$2:$B$501,MATCH(C482,'SKU'!$A$2:$A$501,0)),""))</f>
        <v/>
      </c>
      <c r="F482" s="4">
        <f>IF(OR(C482="",E482=""),"",E482*N(IFERROR(INDEX('SKU'!$E$2:$E$501,MATCH(C482,'SKU'!$A$2:$A$501,0)),"")))</f>
        <v/>
      </c>
    </row>
    <row r="483">
      <c r="B483" s="2">
        <f>IF(A483="","",IFERROR(INDEX('판매구성'!$B$2:$B$501,MATCH(A483,'판매구성'!$A$2:$A$501,0)),""))</f>
        <v/>
      </c>
      <c r="D483" s="2">
        <f>IF(C483="","",IFERROR(INDEX('SKU'!$B$2:$B$501,MATCH(C483,'SKU'!$A$2:$A$501,0)),""))</f>
        <v/>
      </c>
      <c r="F483" s="4">
        <f>IF(OR(C483="",E483=""),"",E483*N(IFERROR(INDEX('SKU'!$E$2:$E$501,MATCH(C483,'SKU'!$A$2:$A$501,0)),"")))</f>
        <v/>
      </c>
    </row>
    <row r="484">
      <c r="B484" s="2">
        <f>IF(A484="","",IFERROR(INDEX('판매구성'!$B$2:$B$501,MATCH(A484,'판매구성'!$A$2:$A$501,0)),""))</f>
        <v/>
      </c>
      <c r="D484" s="2">
        <f>IF(C484="","",IFERROR(INDEX('SKU'!$B$2:$B$501,MATCH(C484,'SKU'!$A$2:$A$501,0)),""))</f>
        <v/>
      </c>
      <c r="F484" s="4">
        <f>IF(OR(C484="",E484=""),"",E484*N(IFERROR(INDEX('SKU'!$E$2:$E$501,MATCH(C484,'SKU'!$A$2:$A$501,0)),"")))</f>
        <v/>
      </c>
    </row>
    <row r="485">
      <c r="B485" s="2">
        <f>IF(A485="","",IFERROR(INDEX('판매구성'!$B$2:$B$501,MATCH(A485,'판매구성'!$A$2:$A$501,0)),""))</f>
        <v/>
      </c>
      <c r="D485" s="2">
        <f>IF(C485="","",IFERROR(INDEX('SKU'!$B$2:$B$501,MATCH(C485,'SKU'!$A$2:$A$501,0)),""))</f>
        <v/>
      </c>
      <c r="F485" s="4">
        <f>IF(OR(C485="",E485=""),"",E485*N(IFERROR(INDEX('SKU'!$E$2:$E$501,MATCH(C485,'SKU'!$A$2:$A$501,0)),"")))</f>
        <v/>
      </c>
    </row>
    <row r="486">
      <c r="B486" s="2">
        <f>IF(A486="","",IFERROR(INDEX('판매구성'!$B$2:$B$501,MATCH(A486,'판매구성'!$A$2:$A$501,0)),""))</f>
        <v/>
      </c>
      <c r="D486" s="2">
        <f>IF(C486="","",IFERROR(INDEX('SKU'!$B$2:$B$501,MATCH(C486,'SKU'!$A$2:$A$501,0)),""))</f>
        <v/>
      </c>
      <c r="F486" s="4">
        <f>IF(OR(C486="",E486=""),"",E486*N(IFERROR(INDEX('SKU'!$E$2:$E$501,MATCH(C486,'SKU'!$A$2:$A$501,0)),"")))</f>
        <v/>
      </c>
    </row>
    <row r="487">
      <c r="B487" s="2">
        <f>IF(A487="","",IFERROR(INDEX('판매구성'!$B$2:$B$501,MATCH(A487,'판매구성'!$A$2:$A$501,0)),""))</f>
        <v/>
      </c>
      <c r="D487" s="2">
        <f>IF(C487="","",IFERROR(INDEX('SKU'!$B$2:$B$501,MATCH(C487,'SKU'!$A$2:$A$501,0)),""))</f>
        <v/>
      </c>
      <c r="F487" s="4">
        <f>IF(OR(C487="",E487=""),"",E487*N(IFERROR(INDEX('SKU'!$E$2:$E$501,MATCH(C487,'SKU'!$A$2:$A$501,0)),"")))</f>
        <v/>
      </c>
    </row>
    <row r="488">
      <c r="B488" s="2">
        <f>IF(A488="","",IFERROR(INDEX('판매구성'!$B$2:$B$501,MATCH(A488,'판매구성'!$A$2:$A$501,0)),""))</f>
        <v/>
      </c>
      <c r="D488" s="2">
        <f>IF(C488="","",IFERROR(INDEX('SKU'!$B$2:$B$501,MATCH(C488,'SKU'!$A$2:$A$501,0)),""))</f>
        <v/>
      </c>
      <c r="F488" s="4">
        <f>IF(OR(C488="",E488=""),"",E488*N(IFERROR(INDEX('SKU'!$E$2:$E$501,MATCH(C488,'SKU'!$A$2:$A$501,0)),"")))</f>
        <v/>
      </c>
    </row>
    <row r="489">
      <c r="B489" s="2">
        <f>IF(A489="","",IFERROR(INDEX('판매구성'!$B$2:$B$501,MATCH(A489,'판매구성'!$A$2:$A$501,0)),""))</f>
        <v/>
      </c>
      <c r="D489" s="2">
        <f>IF(C489="","",IFERROR(INDEX('SKU'!$B$2:$B$501,MATCH(C489,'SKU'!$A$2:$A$501,0)),""))</f>
        <v/>
      </c>
      <c r="F489" s="4">
        <f>IF(OR(C489="",E489=""),"",E489*N(IFERROR(INDEX('SKU'!$E$2:$E$501,MATCH(C489,'SKU'!$A$2:$A$501,0)),"")))</f>
        <v/>
      </c>
    </row>
    <row r="490">
      <c r="B490" s="2">
        <f>IF(A490="","",IFERROR(INDEX('판매구성'!$B$2:$B$501,MATCH(A490,'판매구성'!$A$2:$A$501,0)),""))</f>
        <v/>
      </c>
      <c r="D490" s="2">
        <f>IF(C490="","",IFERROR(INDEX('SKU'!$B$2:$B$501,MATCH(C490,'SKU'!$A$2:$A$501,0)),""))</f>
        <v/>
      </c>
      <c r="F490" s="4">
        <f>IF(OR(C490="",E490=""),"",E490*N(IFERROR(INDEX('SKU'!$E$2:$E$501,MATCH(C490,'SKU'!$A$2:$A$501,0)),"")))</f>
        <v/>
      </c>
    </row>
    <row r="491">
      <c r="B491" s="2">
        <f>IF(A491="","",IFERROR(INDEX('판매구성'!$B$2:$B$501,MATCH(A491,'판매구성'!$A$2:$A$501,0)),""))</f>
        <v/>
      </c>
      <c r="D491" s="2">
        <f>IF(C491="","",IFERROR(INDEX('SKU'!$B$2:$B$501,MATCH(C491,'SKU'!$A$2:$A$501,0)),""))</f>
        <v/>
      </c>
      <c r="F491" s="4">
        <f>IF(OR(C491="",E491=""),"",E491*N(IFERROR(INDEX('SKU'!$E$2:$E$501,MATCH(C491,'SKU'!$A$2:$A$501,0)),"")))</f>
        <v/>
      </c>
    </row>
    <row r="492">
      <c r="B492" s="2">
        <f>IF(A492="","",IFERROR(INDEX('판매구성'!$B$2:$B$501,MATCH(A492,'판매구성'!$A$2:$A$501,0)),""))</f>
        <v/>
      </c>
      <c r="D492" s="2">
        <f>IF(C492="","",IFERROR(INDEX('SKU'!$B$2:$B$501,MATCH(C492,'SKU'!$A$2:$A$501,0)),""))</f>
        <v/>
      </c>
      <c r="F492" s="4">
        <f>IF(OR(C492="",E492=""),"",E492*N(IFERROR(INDEX('SKU'!$E$2:$E$501,MATCH(C492,'SKU'!$A$2:$A$501,0)),"")))</f>
        <v/>
      </c>
    </row>
    <row r="493">
      <c r="B493" s="2">
        <f>IF(A493="","",IFERROR(INDEX('판매구성'!$B$2:$B$501,MATCH(A493,'판매구성'!$A$2:$A$501,0)),""))</f>
        <v/>
      </c>
      <c r="D493" s="2">
        <f>IF(C493="","",IFERROR(INDEX('SKU'!$B$2:$B$501,MATCH(C493,'SKU'!$A$2:$A$501,0)),""))</f>
        <v/>
      </c>
      <c r="F493" s="4">
        <f>IF(OR(C493="",E493=""),"",E493*N(IFERROR(INDEX('SKU'!$E$2:$E$501,MATCH(C493,'SKU'!$A$2:$A$501,0)),"")))</f>
        <v/>
      </c>
    </row>
    <row r="494">
      <c r="B494" s="2">
        <f>IF(A494="","",IFERROR(INDEX('판매구성'!$B$2:$B$501,MATCH(A494,'판매구성'!$A$2:$A$501,0)),""))</f>
        <v/>
      </c>
      <c r="D494" s="2">
        <f>IF(C494="","",IFERROR(INDEX('SKU'!$B$2:$B$501,MATCH(C494,'SKU'!$A$2:$A$501,0)),""))</f>
        <v/>
      </c>
      <c r="F494" s="4">
        <f>IF(OR(C494="",E494=""),"",E494*N(IFERROR(INDEX('SKU'!$E$2:$E$501,MATCH(C494,'SKU'!$A$2:$A$501,0)),"")))</f>
        <v/>
      </c>
    </row>
    <row r="495">
      <c r="B495" s="2">
        <f>IF(A495="","",IFERROR(INDEX('판매구성'!$B$2:$B$501,MATCH(A495,'판매구성'!$A$2:$A$501,0)),""))</f>
        <v/>
      </c>
      <c r="D495" s="2">
        <f>IF(C495="","",IFERROR(INDEX('SKU'!$B$2:$B$501,MATCH(C495,'SKU'!$A$2:$A$501,0)),""))</f>
        <v/>
      </c>
      <c r="F495" s="4">
        <f>IF(OR(C495="",E495=""),"",E495*N(IFERROR(INDEX('SKU'!$E$2:$E$501,MATCH(C495,'SKU'!$A$2:$A$501,0)),"")))</f>
        <v/>
      </c>
    </row>
    <row r="496">
      <c r="B496" s="2">
        <f>IF(A496="","",IFERROR(INDEX('판매구성'!$B$2:$B$501,MATCH(A496,'판매구성'!$A$2:$A$501,0)),""))</f>
        <v/>
      </c>
      <c r="D496" s="2">
        <f>IF(C496="","",IFERROR(INDEX('SKU'!$B$2:$B$501,MATCH(C496,'SKU'!$A$2:$A$501,0)),""))</f>
        <v/>
      </c>
      <c r="F496" s="4">
        <f>IF(OR(C496="",E496=""),"",E496*N(IFERROR(INDEX('SKU'!$E$2:$E$501,MATCH(C496,'SKU'!$A$2:$A$501,0)),"")))</f>
        <v/>
      </c>
    </row>
    <row r="497">
      <c r="B497" s="2">
        <f>IF(A497="","",IFERROR(INDEX('판매구성'!$B$2:$B$501,MATCH(A497,'판매구성'!$A$2:$A$501,0)),""))</f>
        <v/>
      </c>
      <c r="D497" s="2">
        <f>IF(C497="","",IFERROR(INDEX('SKU'!$B$2:$B$501,MATCH(C497,'SKU'!$A$2:$A$501,0)),""))</f>
        <v/>
      </c>
      <c r="F497" s="4">
        <f>IF(OR(C497="",E497=""),"",E497*N(IFERROR(INDEX('SKU'!$E$2:$E$501,MATCH(C497,'SKU'!$A$2:$A$501,0)),"")))</f>
        <v/>
      </c>
    </row>
    <row r="498">
      <c r="B498" s="2">
        <f>IF(A498="","",IFERROR(INDEX('판매구성'!$B$2:$B$501,MATCH(A498,'판매구성'!$A$2:$A$501,0)),""))</f>
        <v/>
      </c>
      <c r="D498" s="2">
        <f>IF(C498="","",IFERROR(INDEX('SKU'!$B$2:$B$501,MATCH(C498,'SKU'!$A$2:$A$501,0)),""))</f>
        <v/>
      </c>
      <c r="F498" s="4">
        <f>IF(OR(C498="",E498=""),"",E498*N(IFERROR(INDEX('SKU'!$E$2:$E$501,MATCH(C498,'SKU'!$A$2:$A$501,0)),"")))</f>
        <v/>
      </c>
    </row>
    <row r="499">
      <c r="B499" s="2">
        <f>IF(A499="","",IFERROR(INDEX('판매구성'!$B$2:$B$501,MATCH(A499,'판매구성'!$A$2:$A$501,0)),""))</f>
        <v/>
      </c>
      <c r="D499" s="2">
        <f>IF(C499="","",IFERROR(INDEX('SKU'!$B$2:$B$501,MATCH(C499,'SKU'!$A$2:$A$501,0)),""))</f>
        <v/>
      </c>
      <c r="F499" s="4">
        <f>IF(OR(C499="",E499=""),"",E499*N(IFERROR(INDEX('SKU'!$E$2:$E$501,MATCH(C499,'SKU'!$A$2:$A$501,0)),"")))</f>
        <v/>
      </c>
    </row>
    <row r="500">
      <c r="B500" s="2">
        <f>IF(A500="","",IFERROR(INDEX('판매구성'!$B$2:$B$501,MATCH(A500,'판매구성'!$A$2:$A$501,0)),""))</f>
        <v/>
      </c>
      <c r="D500" s="2">
        <f>IF(C500="","",IFERROR(INDEX('SKU'!$B$2:$B$501,MATCH(C500,'SKU'!$A$2:$A$501,0)),""))</f>
        <v/>
      </c>
      <c r="F500" s="4">
        <f>IF(OR(C500="",E500=""),"",E500*N(IFERROR(INDEX('SKU'!$E$2:$E$501,MATCH(C500,'SKU'!$A$2:$A$501,0)),"")))</f>
        <v/>
      </c>
    </row>
    <row r="501">
      <c r="B501" s="2">
        <f>IF(A501="","",IFERROR(INDEX('판매구성'!$B$2:$B$501,MATCH(A501,'판매구성'!$A$2:$A$501,0)),""))</f>
        <v/>
      </c>
      <c r="D501" s="2">
        <f>IF(C501="","",IFERROR(INDEX('SKU'!$B$2:$B$501,MATCH(C501,'SKU'!$A$2:$A$501,0)),""))</f>
        <v/>
      </c>
      <c r="F501" s="4">
        <f>IF(OR(C501="",E501=""),"",E501*N(IFERROR(INDEX('SKU'!$E$2:$E$501,MATCH(C501,'SKU'!$A$2:$A$501,0)),"")))</f>
        <v/>
      </c>
    </row>
  </sheetData>
  <autoFilter ref="A1:F501"/>
  <dataValidations count="2">
    <dataValidation sqref="A2:A501" showDropDown="0" showInputMessage="0" showErrorMessage="1" allowBlank="1" errorTitle="입력 오류" error="목록에 있는 값만 선택할 수 있습니다." type="list">
      <formula1>='판매구성'!$A$2:$A$501</formula1>
    </dataValidation>
    <dataValidation sqref="C2:C501" showDropDown="0" showInputMessage="0" showErrorMessage="1" allowBlank="1" errorTitle="입력 오류" error="목록에 있는 값만 선택할 수 있습니다." type="list">
      <formula1>='SKU'!$A$2:$A$501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16" customWidth="1" min="4" max="4"/>
    <col width="12" customWidth="1" min="5" max="5"/>
    <col width="16" customWidth="1" min="6" max="6"/>
    <col width="16" customWidth="1" min="7" max="7"/>
    <col width="16" customWidth="1" min="8" max="8"/>
    <col width="10" customWidth="1" min="9" max="9"/>
  </cols>
  <sheetData>
    <row r="1" ht="24" customHeight="1">
      <c r="A1" s="1" t="inlineStr">
        <is>
          <t>SKU코드</t>
        </is>
      </c>
      <c r="B1" s="1" t="inlineStr">
        <is>
          <t>상품명</t>
        </is>
      </c>
      <c r="C1" s="1" t="inlineStr">
        <is>
          <t>브랜드</t>
        </is>
      </c>
      <c r="D1" s="1" t="inlineStr">
        <is>
          <t>규격</t>
        </is>
      </c>
      <c r="E1" s="1" t="inlineStr">
        <is>
          <t>원가</t>
        </is>
      </c>
      <c r="F1" s="1" t="inlineStr">
        <is>
          <t>바코드</t>
        </is>
      </c>
      <c r="G1" s="1" t="inlineStr">
        <is>
          <t>사방넷품번코드</t>
        </is>
      </c>
      <c r="H1" s="1" t="inlineStr">
        <is>
          <t>사방넷단품코드</t>
        </is>
      </c>
      <c r="I1" s="1" t="inlineStr">
        <is>
          <t>상태</t>
        </is>
      </c>
    </row>
    <row r="2">
      <c r="A2" s="3" t="n"/>
      <c r="E2" s="6" t="n"/>
      <c r="F2" s="3" t="n"/>
      <c r="G2" s="3" t="n"/>
      <c r="H2" s="3" t="n"/>
    </row>
    <row r="3">
      <c r="A3" s="3" t="n"/>
      <c r="E3" s="6" t="n"/>
      <c r="F3" s="3" t="n"/>
      <c r="G3" s="3" t="n"/>
      <c r="H3" s="3" t="n"/>
    </row>
    <row r="4">
      <c r="A4" s="3" t="n"/>
      <c r="E4" s="6" t="n"/>
      <c r="F4" s="3" t="n"/>
      <c r="G4" s="3" t="n"/>
      <c r="H4" s="3" t="n"/>
    </row>
    <row r="5">
      <c r="A5" s="3" t="n"/>
      <c r="E5" s="6" t="n"/>
      <c r="F5" s="3" t="n"/>
      <c r="G5" s="3" t="n"/>
      <c r="H5" s="3" t="n"/>
    </row>
    <row r="6">
      <c r="A6" s="3" t="n"/>
      <c r="E6" s="6" t="n"/>
      <c r="F6" s="3" t="n"/>
      <c r="G6" s="3" t="n"/>
      <c r="H6" s="3" t="n"/>
    </row>
    <row r="7">
      <c r="A7" s="3" t="n"/>
      <c r="E7" s="6" t="n"/>
      <c r="F7" s="3" t="n"/>
      <c r="G7" s="3" t="n"/>
      <c r="H7" s="3" t="n"/>
    </row>
    <row r="8">
      <c r="A8" s="3" t="n"/>
      <c r="E8" s="6" t="n"/>
      <c r="F8" s="3" t="n"/>
      <c r="G8" s="3" t="n"/>
      <c r="H8" s="3" t="n"/>
    </row>
    <row r="9">
      <c r="A9" s="3" t="n"/>
      <c r="E9" s="6" t="n"/>
      <c r="F9" s="3" t="n"/>
      <c r="G9" s="3" t="n"/>
      <c r="H9" s="3" t="n"/>
    </row>
    <row r="10">
      <c r="A10" s="3" t="n"/>
      <c r="E10" s="6" t="n"/>
      <c r="F10" s="3" t="n"/>
      <c r="G10" s="3" t="n"/>
      <c r="H10" s="3" t="n"/>
    </row>
    <row r="11">
      <c r="A11" s="3" t="n"/>
      <c r="E11" s="6" t="n"/>
      <c r="F11" s="3" t="n"/>
      <c r="G11" s="3" t="n"/>
      <c r="H11" s="3" t="n"/>
    </row>
    <row r="12">
      <c r="A12" s="3" t="n"/>
      <c r="E12" s="6" t="n"/>
      <c r="F12" s="3" t="n"/>
      <c r="G12" s="3" t="n"/>
      <c r="H12" s="3" t="n"/>
    </row>
    <row r="13">
      <c r="A13" s="3" t="n"/>
      <c r="E13" s="6" t="n"/>
      <c r="F13" s="3" t="n"/>
      <c r="G13" s="3" t="n"/>
      <c r="H13" s="3" t="n"/>
    </row>
    <row r="14">
      <c r="A14" s="3" t="n"/>
      <c r="E14" s="6" t="n"/>
      <c r="F14" s="3" t="n"/>
      <c r="G14" s="3" t="n"/>
      <c r="H14" s="3" t="n"/>
    </row>
    <row r="15">
      <c r="A15" s="3" t="n"/>
      <c r="E15" s="6" t="n"/>
      <c r="F15" s="3" t="n"/>
      <c r="G15" s="3" t="n"/>
      <c r="H15" s="3" t="n"/>
    </row>
    <row r="16">
      <c r="A16" s="3" t="n"/>
      <c r="E16" s="6" t="n"/>
      <c r="F16" s="3" t="n"/>
      <c r="G16" s="3" t="n"/>
      <c r="H16" s="3" t="n"/>
    </row>
    <row r="17">
      <c r="A17" s="3" t="n"/>
      <c r="E17" s="6" t="n"/>
      <c r="F17" s="3" t="n"/>
      <c r="G17" s="3" t="n"/>
      <c r="H17" s="3" t="n"/>
    </row>
    <row r="18">
      <c r="A18" s="3" t="n"/>
      <c r="E18" s="6" t="n"/>
      <c r="F18" s="3" t="n"/>
      <c r="G18" s="3" t="n"/>
      <c r="H18" s="3" t="n"/>
    </row>
    <row r="19">
      <c r="A19" s="3" t="n"/>
      <c r="E19" s="6" t="n"/>
      <c r="F19" s="3" t="n"/>
      <c r="G19" s="3" t="n"/>
      <c r="H19" s="3" t="n"/>
    </row>
    <row r="20">
      <c r="A20" s="3" t="n"/>
      <c r="E20" s="6" t="n"/>
      <c r="F20" s="3" t="n"/>
      <c r="G20" s="3" t="n"/>
      <c r="H20" s="3" t="n"/>
    </row>
    <row r="21">
      <c r="A21" s="3" t="n"/>
      <c r="E21" s="6" t="n"/>
      <c r="F21" s="3" t="n"/>
      <c r="G21" s="3" t="n"/>
      <c r="H21" s="3" t="n"/>
    </row>
    <row r="22">
      <c r="A22" s="3" t="n"/>
      <c r="E22" s="6" t="n"/>
      <c r="F22" s="3" t="n"/>
      <c r="G22" s="3" t="n"/>
      <c r="H22" s="3" t="n"/>
    </row>
    <row r="23">
      <c r="A23" s="3" t="n"/>
      <c r="E23" s="6" t="n"/>
      <c r="F23" s="3" t="n"/>
      <c r="G23" s="3" t="n"/>
      <c r="H23" s="3" t="n"/>
    </row>
    <row r="24">
      <c r="A24" s="3" t="n"/>
      <c r="E24" s="6" t="n"/>
      <c r="F24" s="3" t="n"/>
      <c r="G24" s="3" t="n"/>
      <c r="H24" s="3" t="n"/>
    </row>
    <row r="25">
      <c r="A25" s="3" t="n"/>
      <c r="E25" s="6" t="n"/>
      <c r="F25" s="3" t="n"/>
      <c r="G25" s="3" t="n"/>
      <c r="H25" s="3" t="n"/>
    </row>
    <row r="26">
      <c r="A26" s="3" t="n"/>
      <c r="E26" s="6" t="n"/>
      <c r="F26" s="3" t="n"/>
      <c r="G26" s="3" t="n"/>
      <c r="H26" s="3" t="n"/>
    </row>
    <row r="27">
      <c r="A27" s="3" t="n"/>
      <c r="E27" s="6" t="n"/>
      <c r="F27" s="3" t="n"/>
      <c r="G27" s="3" t="n"/>
      <c r="H27" s="3" t="n"/>
    </row>
    <row r="28">
      <c r="A28" s="3" t="n"/>
      <c r="E28" s="6" t="n"/>
      <c r="F28" s="3" t="n"/>
      <c r="G28" s="3" t="n"/>
      <c r="H28" s="3" t="n"/>
    </row>
    <row r="29">
      <c r="A29" s="3" t="n"/>
      <c r="E29" s="6" t="n"/>
      <c r="F29" s="3" t="n"/>
      <c r="G29" s="3" t="n"/>
      <c r="H29" s="3" t="n"/>
    </row>
    <row r="30">
      <c r="A30" s="3" t="n"/>
      <c r="E30" s="6" t="n"/>
      <c r="F30" s="3" t="n"/>
      <c r="G30" s="3" t="n"/>
      <c r="H30" s="3" t="n"/>
    </row>
    <row r="31">
      <c r="A31" s="3" t="n"/>
      <c r="E31" s="6" t="n"/>
      <c r="F31" s="3" t="n"/>
      <c r="G31" s="3" t="n"/>
      <c r="H31" s="3" t="n"/>
    </row>
    <row r="32">
      <c r="A32" s="3" t="n"/>
      <c r="E32" s="6" t="n"/>
      <c r="F32" s="3" t="n"/>
      <c r="G32" s="3" t="n"/>
      <c r="H32" s="3" t="n"/>
    </row>
    <row r="33">
      <c r="A33" s="3" t="n"/>
      <c r="E33" s="6" t="n"/>
      <c r="F33" s="3" t="n"/>
      <c r="G33" s="3" t="n"/>
      <c r="H33" s="3" t="n"/>
    </row>
    <row r="34">
      <c r="A34" s="3" t="n"/>
      <c r="E34" s="6" t="n"/>
      <c r="F34" s="3" t="n"/>
      <c r="G34" s="3" t="n"/>
      <c r="H34" s="3" t="n"/>
    </row>
    <row r="35">
      <c r="A35" s="3" t="n"/>
      <c r="E35" s="6" t="n"/>
      <c r="F35" s="3" t="n"/>
      <c r="G35" s="3" t="n"/>
      <c r="H35" s="3" t="n"/>
    </row>
    <row r="36">
      <c r="A36" s="3" t="n"/>
      <c r="E36" s="6" t="n"/>
      <c r="F36" s="3" t="n"/>
      <c r="G36" s="3" t="n"/>
      <c r="H36" s="3" t="n"/>
    </row>
    <row r="37">
      <c r="A37" s="3" t="n"/>
      <c r="E37" s="6" t="n"/>
      <c r="F37" s="3" t="n"/>
      <c r="G37" s="3" t="n"/>
      <c r="H37" s="3" t="n"/>
    </row>
    <row r="38">
      <c r="A38" s="3" t="n"/>
      <c r="E38" s="6" t="n"/>
      <c r="F38" s="3" t="n"/>
      <c r="G38" s="3" t="n"/>
      <c r="H38" s="3" t="n"/>
    </row>
    <row r="39">
      <c r="A39" s="3" t="n"/>
      <c r="E39" s="6" t="n"/>
      <c r="F39" s="3" t="n"/>
      <c r="G39" s="3" t="n"/>
      <c r="H39" s="3" t="n"/>
    </row>
    <row r="40">
      <c r="A40" s="3" t="n"/>
      <c r="E40" s="6" t="n"/>
      <c r="F40" s="3" t="n"/>
      <c r="G40" s="3" t="n"/>
      <c r="H40" s="3" t="n"/>
    </row>
    <row r="41">
      <c r="A41" s="3" t="n"/>
      <c r="E41" s="6" t="n"/>
      <c r="F41" s="3" t="n"/>
      <c r="G41" s="3" t="n"/>
      <c r="H41" s="3" t="n"/>
    </row>
    <row r="42">
      <c r="A42" s="3" t="n"/>
      <c r="E42" s="6" t="n"/>
      <c r="F42" s="3" t="n"/>
      <c r="G42" s="3" t="n"/>
      <c r="H42" s="3" t="n"/>
    </row>
    <row r="43">
      <c r="A43" s="3" t="n"/>
      <c r="E43" s="6" t="n"/>
      <c r="F43" s="3" t="n"/>
      <c r="G43" s="3" t="n"/>
      <c r="H43" s="3" t="n"/>
    </row>
    <row r="44">
      <c r="A44" s="3" t="n"/>
      <c r="E44" s="6" t="n"/>
      <c r="F44" s="3" t="n"/>
      <c r="G44" s="3" t="n"/>
      <c r="H44" s="3" t="n"/>
    </row>
    <row r="45">
      <c r="A45" s="3" t="n"/>
      <c r="E45" s="6" t="n"/>
      <c r="F45" s="3" t="n"/>
      <c r="G45" s="3" t="n"/>
      <c r="H45" s="3" t="n"/>
    </row>
    <row r="46">
      <c r="A46" s="3" t="n"/>
      <c r="E46" s="6" t="n"/>
      <c r="F46" s="3" t="n"/>
      <c r="G46" s="3" t="n"/>
      <c r="H46" s="3" t="n"/>
    </row>
    <row r="47">
      <c r="A47" s="3" t="n"/>
      <c r="E47" s="6" t="n"/>
      <c r="F47" s="3" t="n"/>
      <c r="G47" s="3" t="n"/>
      <c r="H47" s="3" t="n"/>
    </row>
    <row r="48">
      <c r="A48" s="3" t="n"/>
      <c r="E48" s="6" t="n"/>
      <c r="F48" s="3" t="n"/>
      <c r="G48" s="3" t="n"/>
      <c r="H48" s="3" t="n"/>
    </row>
    <row r="49">
      <c r="A49" s="3" t="n"/>
      <c r="E49" s="6" t="n"/>
      <c r="F49" s="3" t="n"/>
      <c r="G49" s="3" t="n"/>
      <c r="H49" s="3" t="n"/>
    </row>
    <row r="50">
      <c r="A50" s="3" t="n"/>
      <c r="E50" s="6" t="n"/>
      <c r="F50" s="3" t="n"/>
      <c r="G50" s="3" t="n"/>
      <c r="H50" s="3" t="n"/>
    </row>
    <row r="51">
      <c r="A51" s="3" t="n"/>
      <c r="E51" s="6" t="n"/>
      <c r="F51" s="3" t="n"/>
      <c r="G51" s="3" t="n"/>
      <c r="H51" s="3" t="n"/>
    </row>
    <row r="52">
      <c r="A52" s="3" t="n"/>
      <c r="E52" s="6" t="n"/>
      <c r="F52" s="3" t="n"/>
      <c r="G52" s="3" t="n"/>
      <c r="H52" s="3" t="n"/>
    </row>
    <row r="53">
      <c r="A53" s="3" t="n"/>
      <c r="E53" s="6" t="n"/>
      <c r="F53" s="3" t="n"/>
      <c r="G53" s="3" t="n"/>
      <c r="H53" s="3" t="n"/>
    </row>
    <row r="54">
      <c r="A54" s="3" t="n"/>
      <c r="E54" s="6" t="n"/>
      <c r="F54" s="3" t="n"/>
      <c r="G54" s="3" t="n"/>
      <c r="H54" s="3" t="n"/>
    </row>
    <row r="55">
      <c r="A55" s="3" t="n"/>
      <c r="E55" s="6" t="n"/>
      <c r="F55" s="3" t="n"/>
      <c r="G55" s="3" t="n"/>
      <c r="H55" s="3" t="n"/>
    </row>
    <row r="56">
      <c r="A56" s="3" t="n"/>
      <c r="E56" s="6" t="n"/>
      <c r="F56" s="3" t="n"/>
      <c r="G56" s="3" t="n"/>
      <c r="H56" s="3" t="n"/>
    </row>
    <row r="57">
      <c r="A57" s="3" t="n"/>
      <c r="E57" s="6" t="n"/>
      <c r="F57" s="3" t="n"/>
      <c r="G57" s="3" t="n"/>
      <c r="H57" s="3" t="n"/>
    </row>
    <row r="58">
      <c r="A58" s="3" t="n"/>
      <c r="E58" s="6" t="n"/>
      <c r="F58" s="3" t="n"/>
      <c r="G58" s="3" t="n"/>
      <c r="H58" s="3" t="n"/>
    </row>
    <row r="59">
      <c r="A59" s="3" t="n"/>
      <c r="E59" s="6" t="n"/>
      <c r="F59" s="3" t="n"/>
      <c r="G59" s="3" t="n"/>
      <c r="H59" s="3" t="n"/>
    </row>
    <row r="60">
      <c r="A60" s="3" t="n"/>
      <c r="E60" s="6" t="n"/>
      <c r="F60" s="3" t="n"/>
      <c r="G60" s="3" t="n"/>
      <c r="H60" s="3" t="n"/>
    </row>
    <row r="61">
      <c r="A61" s="3" t="n"/>
      <c r="E61" s="6" t="n"/>
      <c r="F61" s="3" t="n"/>
      <c r="G61" s="3" t="n"/>
      <c r="H61" s="3" t="n"/>
    </row>
    <row r="62">
      <c r="A62" s="3" t="n"/>
      <c r="E62" s="6" t="n"/>
      <c r="F62" s="3" t="n"/>
      <c r="G62" s="3" t="n"/>
      <c r="H62" s="3" t="n"/>
    </row>
    <row r="63">
      <c r="A63" s="3" t="n"/>
      <c r="E63" s="6" t="n"/>
      <c r="F63" s="3" t="n"/>
      <c r="G63" s="3" t="n"/>
      <c r="H63" s="3" t="n"/>
    </row>
    <row r="64">
      <c r="A64" s="3" t="n"/>
      <c r="E64" s="6" t="n"/>
      <c r="F64" s="3" t="n"/>
      <c r="G64" s="3" t="n"/>
      <c r="H64" s="3" t="n"/>
    </row>
    <row r="65">
      <c r="A65" s="3" t="n"/>
      <c r="E65" s="6" t="n"/>
      <c r="F65" s="3" t="n"/>
      <c r="G65" s="3" t="n"/>
      <c r="H65" s="3" t="n"/>
    </row>
    <row r="66">
      <c r="A66" s="3" t="n"/>
      <c r="E66" s="6" t="n"/>
      <c r="F66" s="3" t="n"/>
      <c r="G66" s="3" t="n"/>
      <c r="H66" s="3" t="n"/>
    </row>
    <row r="67">
      <c r="A67" s="3" t="n"/>
      <c r="E67" s="6" t="n"/>
      <c r="F67" s="3" t="n"/>
      <c r="G67" s="3" t="n"/>
      <c r="H67" s="3" t="n"/>
    </row>
    <row r="68">
      <c r="A68" s="3" t="n"/>
      <c r="E68" s="6" t="n"/>
      <c r="F68" s="3" t="n"/>
      <c r="G68" s="3" t="n"/>
      <c r="H68" s="3" t="n"/>
    </row>
    <row r="69">
      <c r="A69" s="3" t="n"/>
      <c r="E69" s="6" t="n"/>
      <c r="F69" s="3" t="n"/>
      <c r="G69" s="3" t="n"/>
      <c r="H69" s="3" t="n"/>
    </row>
    <row r="70">
      <c r="A70" s="3" t="n"/>
      <c r="E70" s="6" t="n"/>
      <c r="F70" s="3" t="n"/>
      <c r="G70" s="3" t="n"/>
      <c r="H70" s="3" t="n"/>
    </row>
    <row r="71">
      <c r="A71" s="3" t="n"/>
      <c r="E71" s="6" t="n"/>
      <c r="F71" s="3" t="n"/>
      <c r="G71" s="3" t="n"/>
      <c r="H71" s="3" t="n"/>
    </row>
    <row r="72">
      <c r="A72" s="3" t="n"/>
      <c r="E72" s="6" t="n"/>
      <c r="F72" s="3" t="n"/>
      <c r="G72" s="3" t="n"/>
      <c r="H72" s="3" t="n"/>
    </row>
    <row r="73">
      <c r="A73" s="3" t="n"/>
      <c r="E73" s="6" t="n"/>
      <c r="F73" s="3" t="n"/>
      <c r="G73" s="3" t="n"/>
      <c r="H73" s="3" t="n"/>
    </row>
    <row r="74">
      <c r="A74" s="3" t="n"/>
      <c r="E74" s="6" t="n"/>
      <c r="F74" s="3" t="n"/>
      <c r="G74" s="3" t="n"/>
      <c r="H74" s="3" t="n"/>
    </row>
    <row r="75">
      <c r="A75" s="3" t="n"/>
      <c r="E75" s="6" t="n"/>
      <c r="F75" s="3" t="n"/>
      <c r="G75" s="3" t="n"/>
      <c r="H75" s="3" t="n"/>
    </row>
    <row r="76">
      <c r="A76" s="3" t="n"/>
      <c r="E76" s="6" t="n"/>
      <c r="F76" s="3" t="n"/>
      <c r="G76" s="3" t="n"/>
      <c r="H76" s="3" t="n"/>
    </row>
    <row r="77">
      <c r="A77" s="3" t="n"/>
      <c r="E77" s="6" t="n"/>
      <c r="F77" s="3" t="n"/>
      <c r="G77" s="3" t="n"/>
      <c r="H77" s="3" t="n"/>
    </row>
    <row r="78">
      <c r="A78" s="3" t="n"/>
      <c r="E78" s="6" t="n"/>
      <c r="F78" s="3" t="n"/>
      <c r="G78" s="3" t="n"/>
      <c r="H78" s="3" t="n"/>
    </row>
    <row r="79">
      <c r="A79" s="3" t="n"/>
      <c r="E79" s="6" t="n"/>
      <c r="F79" s="3" t="n"/>
      <c r="G79" s="3" t="n"/>
      <c r="H79" s="3" t="n"/>
    </row>
    <row r="80">
      <c r="A80" s="3" t="n"/>
      <c r="E80" s="6" t="n"/>
      <c r="F80" s="3" t="n"/>
      <c r="G80" s="3" t="n"/>
      <c r="H80" s="3" t="n"/>
    </row>
    <row r="81">
      <c r="A81" s="3" t="n"/>
      <c r="E81" s="6" t="n"/>
      <c r="F81" s="3" t="n"/>
      <c r="G81" s="3" t="n"/>
      <c r="H81" s="3" t="n"/>
    </row>
    <row r="82">
      <c r="A82" s="3" t="n"/>
      <c r="E82" s="6" t="n"/>
      <c r="F82" s="3" t="n"/>
      <c r="G82" s="3" t="n"/>
      <c r="H82" s="3" t="n"/>
    </row>
    <row r="83">
      <c r="A83" s="3" t="n"/>
      <c r="E83" s="6" t="n"/>
      <c r="F83" s="3" t="n"/>
      <c r="G83" s="3" t="n"/>
      <c r="H83" s="3" t="n"/>
    </row>
    <row r="84">
      <c r="A84" s="3" t="n"/>
      <c r="E84" s="6" t="n"/>
      <c r="F84" s="3" t="n"/>
      <c r="G84" s="3" t="n"/>
      <c r="H84" s="3" t="n"/>
    </row>
    <row r="85">
      <c r="A85" s="3" t="n"/>
      <c r="E85" s="6" t="n"/>
      <c r="F85" s="3" t="n"/>
      <c r="G85" s="3" t="n"/>
      <c r="H85" s="3" t="n"/>
    </row>
    <row r="86">
      <c r="A86" s="3" t="n"/>
      <c r="E86" s="6" t="n"/>
      <c r="F86" s="3" t="n"/>
      <c r="G86" s="3" t="n"/>
      <c r="H86" s="3" t="n"/>
    </row>
    <row r="87">
      <c r="A87" s="3" t="n"/>
      <c r="E87" s="6" t="n"/>
      <c r="F87" s="3" t="n"/>
      <c r="G87" s="3" t="n"/>
      <c r="H87" s="3" t="n"/>
    </row>
    <row r="88">
      <c r="A88" s="3" t="n"/>
      <c r="E88" s="6" t="n"/>
      <c r="F88" s="3" t="n"/>
      <c r="G88" s="3" t="n"/>
      <c r="H88" s="3" t="n"/>
    </row>
    <row r="89">
      <c r="A89" s="3" t="n"/>
      <c r="E89" s="6" t="n"/>
      <c r="F89" s="3" t="n"/>
      <c r="G89" s="3" t="n"/>
      <c r="H89" s="3" t="n"/>
    </row>
    <row r="90">
      <c r="A90" s="3" t="n"/>
      <c r="E90" s="6" t="n"/>
      <c r="F90" s="3" t="n"/>
      <c r="G90" s="3" t="n"/>
      <c r="H90" s="3" t="n"/>
    </row>
    <row r="91">
      <c r="A91" s="3" t="n"/>
      <c r="E91" s="6" t="n"/>
      <c r="F91" s="3" t="n"/>
      <c r="G91" s="3" t="n"/>
      <c r="H91" s="3" t="n"/>
    </row>
    <row r="92">
      <c r="A92" s="3" t="n"/>
      <c r="E92" s="6" t="n"/>
      <c r="F92" s="3" t="n"/>
      <c r="G92" s="3" t="n"/>
      <c r="H92" s="3" t="n"/>
    </row>
    <row r="93">
      <c r="A93" s="3" t="n"/>
      <c r="E93" s="6" t="n"/>
      <c r="F93" s="3" t="n"/>
      <c r="G93" s="3" t="n"/>
      <c r="H93" s="3" t="n"/>
    </row>
    <row r="94">
      <c r="A94" s="3" t="n"/>
      <c r="E94" s="6" t="n"/>
      <c r="F94" s="3" t="n"/>
      <c r="G94" s="3" t="n"/>
      <c r="H94" s="3" t="n"/>
    </row>
    <row r="95">
      <c r="A95" s="3" t="n"/>
      <c r="E95" s="6" t="n"/>
      <c r="F95" s="3" t="n"/>
      <c r="G95" s="3" t="n"/>
      <c r="H95" s="3" t="n"/>
    </row>
    <row r="96">
      <c r="A96" s="3" t="n"/>
      <c r="E96" s="6" t="n"/>
      <c r="F96" s="3" t="n"/>
      <c r="G96" s="3" t="n"/>
      <c r="H96" s="3" t="n"/>
    </row>
    <row r="97">
      <c r="A97" s="3" t="n"/>
      <c r="E97" s="6" t="n"/>
      <c r="F97" s="3" t="n"/>
      <c r="G97" s="3" t="n"/>
      <c r="H97" s="3" t="n"/>
    </row>
    <row r="98">
      <c r="A98" s="3" t="n"/>
      <c r="E98" s="6" t="n"/>
      <c r="F98" s="3" t="n"/>
      <c r="G98" s="3" t="n"/>
      <c r="H98" s="3" t="n"/>
    </row>
    <row r="99">
      <c r="A99" s="3" t="n"/>
      <c r="E99" s="6" t="n"/>
      <c r="F99" s="3" t="n"/>
      <c r="G99" s="3" t="n"/>
      <c r="H99" s="3" t="n"/>
    </row>
    <row r="100">
      <c r="A100" s="3" t="n"/>
      <c r="E100" s="6" t="n"/>
      <c r="F100" s="3" t="n"/>
      <c r="G100" s="3" t="n"/>
      <c r="H100" s="3" t="n"/>
    </row>
    <row r="101">
      <c r="A101" s="3" t="n"/>
      <c r="E101" s="6" t="n"/>
      <c r="F101" s="3" t="n"/>
      <c r="G101" s="3" t="n"/>
      <c r="H101" s="3" t="n"/>
    </row>
    <row r="102">
      <c r="A102" s="3" t="n"/>
      <c r="E102" s="6" t="n"/>
      <c r="F102" s="3" t="n"/>
      <c r="G102" s="3" t="n"/>
      <c r="H102" s="3" t="n"/>
    </row>
    <row r="103">
      <c r="A103" s="3" t="n"/>
      <c r="E103" s="6" t="n"/>
      <c r="F103" s="3" t="n"/>
      <c r="G103" s="3" t="n"/>
      <c r="H103" s="3" t="n"/>
    </row>
    <row r="104">
      <c r="A104" s="3" t="n"/>
      <c r="E104" s="6" t="n"/>
      <c r="F104" s="3" t="n"/>
      <c r="G104" s="3" t="n"/>
      <c r="H104" s="3" t="n"/>
    </row>
    <row r="105">
      <c r="A105" s="3" t="n"/>
      <c r="E105" s="6" t="n"/>
      <c r="F105" s="3" t="n"/>
      <c r="G105" s="3" t="n"/>
      <c r="H105" s="3" t="n"/>
    </row>
    <row r="106">
      <c r="A106" s="3" t="n"/>
      <c r="E106" s="6" t="n"/>
      <c r="F106" s="3" t="n"/>
      <c r="G106" s="3" t="n"/>
      <c r="H106" s="3" t="n"/>
    </row>
    <row r="107">
      <c r="A107" s="3" t="n"/>
      <c r="E107" s="6" t="n"/>
      <c r="F107" s="3" t="n"/>
      <c r="G107" s="3" t="n"/>
      <c r="H107" s="3" t="n"/>
    </row>
    <row r="108">
      <c r="A108" s="3" t="n"/>
      <c r="E108" s="6" t="n"/>
      <c r="F108" s="3" t="n"/>
      <c r="G108" s="3" t="n"/>
      <c r="H108" s="3" t="n"/>
    </row>
    <row r="109">
      <c r="A109" s="3" t="n"/>
      <c r="E109" s="6" t="n"/>
      <c r="F109" s="3" t="n"/>
      <c r="G109" s="3" t="n"/>
      <c r="H109" s="3" t="n"/>
    </row>
    <row r="110">
      <c r="A110" s="3" t="n"/>
      <c r="E110" s="6" t="n"/>
      <c r="F110" s="3" t="n"/>
      <c r="G110" s="3" t="n"/>
      <c r="H110" s="3" t="n"/>
    </row>
    <row r="111">
      <c r="A111" s="3" t="n"/>
      <c r="E111" s="6" t="n"/>
      <c r="F111" s="3" t="n"/>
      <c r="G111" s="3" t="n"/>
      <c r="H111" s="3" t="n"/>
    </row>
    <row r="112">
      <c r="A112" s="3" t="n"/>
      <c r="E112" s="6" t="n"/>
      <c r="F112" s="3" t="n"/>
      <c r="G112" s="3" t="n"/>
      <c r="H112" s="3" t="n"/>
    </row>
    <row r="113">
      <c r="A113" s="3" t="n"/>
      <c r="E113" s="6" t="n"/>
      <c r="F113" s="3" t="n"/>
      <c r="G113" s="3" t="n"/>
      <c r="H113" s="3" t="n"/>
    </row>
    <row r="114">
      <c r="A114" s="3" t="n"/>
      <c r="E114" s="6" t="n"/>
      <c r="F114" s="3" t="n"/>
      <c r="G114" s="3" t="n"/>
      <c r="H114" s="3" t="n"/>
    </row>
    <row r="115">
      <c r="A115" s="3" t="n"/>
      <c r="E115" s="6" t="n"/>
      <c r="F115" s="3" t="n"/>
      <c r="G115" s="3" t="n"/>
      <c r="H115" s="3" t="n"/>
    </row>
    <row r="116">
      <c r="A116" s="3" t="n"/>
      <c r="E116" s="6" t="n"/>
      <c r="F116" s="3" t="n"/>
      <c r="G116" s="3" t="n"/>
      <c r="H116" s="3" t="n"/>
    </row>
    <row r="117">
      <c r="A117" s="3" t="n"/>
      <c r="E117" s="6" t="n"/>
      <c r="F117" s="3" t="n"/>
      <c r="G117" s="3" t="n"/>
      <c r="H117" s="3" t="n"/>
    </row>
    <row r="118">
      <c r="A118" s="3" t="n"/>
      <c r="E118" s="6" t="n"/>
      <c r="F118" s="3" t="n"/>
      <c r="G118" s="3" t="n"/>
      <c r="H118" s="3" t="n"/>
    </row>
    <row r="119">
      <c r="A119" s="3" t="n"/>
      <c r="E119" s="6" t="n"/>
      <c r="F119" s="3" t="n"/>
      <c r="G119" s="3" t="n"/>
      <c r="H119" s="3" t="n"/>
    </row>
    <row r="120">
      <c r="A120" s="3" t="n"/>
      <c r="E120" s="6" t="n"/>
      <c r="F120" s="3" t="n"/>
      <c r="G120" s="3" t="n"/>
      <c r="H120" s="3" t="n"/>
    </row>
    <row r="121">
      <c r="A121" s="3" t="n"/>
      <c r="E121" s="6" t="n"/>
      <c r="F121" s="3" t="n"/>
      <c r="G121" s="3" t="n"/>
      <c r="H121" s="3" t="n"/>
    </row>
    <row r="122">
      <c r="A122" s="3" t="n"/>
      <c r="E122" s="6" t="n"/>
      <c r="F122" s="3" t="n"/>
      <c r="G122" s="3" t="n"/>
      <c r="H122" s="3" t="n"/>
    </row>
    <row r="123">
      <c r="A123" s="3" t="n"/>
      <c r="E123" s="6" t="n"/>
      <c r="F123" s="3" t="n"/>
      <c r="G123" s="3" t="n"/>
      <c r="H123" s="3" t="n"/>
    </row>
    <row r="124">
      <c r="A124" s="3" t="n"/>
      <c r="E124" s="6" t="n"/>
      <c r="F124" s="3" t="n"/>
      <c r="G124" s="3" t="n"/>
      <c r="H124" s="3" t="n"/>
    </row>
    <row r="125">
      <c r="A125" s="3" t="n"/>
      <c r="E125" s="6" t="n"/>
      <c r="F125" s="3" t="n"/>
      <c r="G125" s="3" t="n"/>
      <c r="H125" s="3" t="n"/>
    </row>
    <row r="126">
      <c r="A126" s="3" t="n"/>
      <c r="E126" s="6" t="n"/>
      <c r="F126" s="3" t="n"/>
      <c r="G126" s="3" t="n"/>
      <c r="H126" s="3" t="n"/>
    </row>
    <row r="127">
      <c r="A127" s="3" t="n"/>
      <c r="E127" s="6" t="n"/>
      <c r="F127" s="3" t="n"/>
      <c r="G127" s="3" t="n"/>
      <c r="H127" s="3" t="n"/>
    </row>
    <row r="128">
      <c r="A128" s="3" t="n"/>
      <c r="E128" s="6" t="n"/>
      <c r="F128" s="3" t="n"/>
      <c r="G128" s="3" t="n"/>
      <c r="H128" s="3" t="n"/>
    </row>
    <row r="129">
      <c r="A129" s="3" t="n"/>
      <c r="E129" s="6" t="n"/>
      <c r="F129" s="3" t="n"/>
      <c r="G129" s="3" t="n"/>
      <c r="H129" s="3" t="n"/>
    </row>
    <row r="130">
      <c r="A130" s="3" t="n"/>
      <c r="E130" s="6" t="n"/>
      <c r="F130" s="3" t="n"/>
      <c r="G130" s="3" t="n"/>
      <c r="H130" s="3" t="n"/>
    </row>
    <row r="131">
      <c r="A131" s="3" t="n"/>
      <c r="E131" s="6" t="n"/>
      <c r="F131" s="3" t="n"/>
      <c r="G131" s="3" t="n"/>
      <c r="H131" s="3" t="n"/>
    </row>
    <row r="132">
      <c r="A132" s="3" t="n"/>
      <c r="E132" s="6" t="n"/>
      <c r="F132" s="3" t="n"/>
      <c r="G132" s="3" t="n"/>
      <c r="H132" s="3" t="n"/>
    </row>
    <row r="133">
      <c r="A133" s="3" t="n"/>
      <c r="E133" s="6" t="n"/>
      <c r="F133" s="3" t="n"/>
      <c r="G133" s="3" t="n"/>
      <c r="H133" s="3" t="n"/>
    </row>
    <row r="134">
      <c r="A134" s="3" t="n"/>
      <c r="E134" s="6" t="n"/>
      <c r="F134" s="3" t="n"/>
      <c r="G134" s="3" t="n"/>
      <c r="H134" s="3" t="n"/>
    </row>
    <row r="135">
      <c r="A135" s="3" t="n"/>
      <c r="E135" s="6" t="n"/>
      <c r="F135" s="3" t="n"/>
      <c r="G135" s="3" t="n"/>
      <c r="H135" s="3" t="n"/>
    </row>
    <row r="136">
      <c r="A136" s="3" t="n"/>
      <c r="E136" s="6" t="n"/>
      <c r="F136" s="3" t="n"/>
      <c r="G136" s="3" t="n"/>
      <c r="H136" s="3" t="n"/>
    </row>
    <row r="137">
      <c r="A137" s="3" t="n"/>
      <c r="E137" s="6" t="n"/>
      <c r="F137" s="3" t="n"/>
      <c r="G137" s="3" t="n"/>
      <c r="H137" s="3" t="n"/>
    </row>
    <row r="138">
      <c r="A138" s="3" t="n"/>
      <c r="E138" s="6" t="n"/>
      <c r="F138" s="3" t="n"/>
      <c r="G138" s="3" t="n"/>
      <c r="H138" s="3" t="n"/>
    </row>
    <row r="139">
      <c r="A139" s="3" t="n"/>
      <c r="E139" s="6" t="n"/>
      <c r="F139" s="3" t="n"/>
      <c r="G139" s="3" t="n"/>
      <c r="H139" s="3" t="n"/>
    </row>
    <row r="140">
      <c r="A140" s="3" t="n"/>
      <c r="E140" s="6" t="n"/>
      <c r="F140" s="3" t="n"/>
      <c r="G140" s="3" t="n"/>
      <c r="H140" s="3" t="n"/>
    </row>
    <row r="141">
      <c r="A141" s="3" t="n"/>
      <c r="E141" s="6" t="n"/>
      <c r="F141" s="3" t="n"/>
      <c r="G141" s="3" t="n"/>
      <c r="H141" s="3" t="n"/>
    </row>
    <row r="142">
      <c r="A142" s="3" t="n"/>
      <c r="E142" s="6" t="n"/>
      <c r="F142" s="3" t="n"/>
      <c r="G142" s="3" t="n"/>
      <c r="H142" s="3" t="n"/>
    </row>
    <row r="143">
      <c r="A143" s="3" t="n"/>
      <c r="E143" s="6" t="n"/>
      <c r="F143" s="3" t="n"/>
      <c r="G143" s="3" t="n"/>
      <c r="H143" s="3" t="n"/>
    </row>
    <row r="144">
      <c r="A144" s="3" t="n"/>
      <c r="E144" s="6" t="n"/>
      <c r="F144" s="3" t="n"/>
      <c r="G144" s="3" t="n"/>
      <c r="H144" s="3" t="n"/>
    </row>
    <row r="145">
      <c r="A145" s="3" t="n"/>
      <c r="E145" s="6" t="n"/>
      <c r="F145" s="3" t="n"/>
      <c r="G145" s="3" t="n"/>
      <c r="H145" s="3" t="n"/>
    </row>
    <row r="146">
      <c r="A146" s="3" t="n"/>
      <c r="E146" s="6" t="n"/>
      <c r="F146" s="3" t="n"/>
      <c r="G146" s="3" t="n"/>
      <c r="H146" s="3" t="n"/>
    </row>
    <row r="147">
      <c r="A147" s="3" t="n"/>
      <c r="E147" s="6" t="n"/>
      <c r="F147" s="3" t="n"/>
      <c r="G147" s="3" t="n"/>
      <c r="H147" s="3" t="n"/>
    </row>
    <row r="148">
      <c r="A148" s="3" t="n"/>
      <c r="E148" s="6" t="n"/>
      <c r="F148" s="3" t="n"/>
      <c r="G148" s="3" t="n"/>
      <c r="H148" s="3" t="n"/>
    </row>
    <row r="149">
      <c r="A149" s="3" t="n"/>
      <c r="E149" s="6" t="n"/>
      <c r="F149" s="3" t="n"/>
      <c r="G149" s="3" t="n"/>
      <c r="H149" s="3" t="n"/>
    </row>
    <row r="150">
      <c r="A150" s="3" t="n"/>
      <c r="E150" s="6" t="n"/>
      <c r="F150" s="3" t="n"/>
      <c r="G150" s="3" t="n"/>
      <c r="H150" s="3" t="n"/>
    </row>
    <row r="151">
      <c r="A151" s="3" t="n"/>
      <c r="E151" s="6" t="n"/>
      <c r="F151" s="3" t="n"/>
      <c r="G151" s="3" t="n"/>
      <c r="H151" s="3" t="n"/>
    </row>
    <row r="152">
      <c r="A152" s="3" t="n"/>
      <c r="E152" s="6" t="n"/>
      <c r="F152" s="3" t="n"/>
      <c r="G152" s="3" t="n"/>
      <c r="H152" s="3" t="n"/>
    </row>
    <row r="153">
      <c r="A153" s="3" t="n"/>
      <c r="E153" s="6" t="n"/>
      <c r="F153" s="3" t="n"/>
      <c r="G153" s="3" t="n"/>
      <c r="H153" s="3" t="n"/>
    </row>
    <row r="154">
      <c r="A154" s="3" t="n"/>
      <c r="E154" s="6" t="n"/>
      <c r="F154" s="3" t="n"/>
      <c r="G154" s="3" t="n"/>
      <c r="H154" s="3" t="n"/>
    </row>
    <row r="155">
      <c r="A155" s="3" t="n"/>
      <c r="E155" s="6" t="n"/>
      <c r="F155" s="3" t="n"/>
      <c r="G155" s="3" t="n"/>
      <c r="H155" s="3" t="n"/>
    </row>
    <row r="156">
      <c r="A156" s="3" t="n"/>
      <c r="E156" s="6" t="n"/>
      <c r="F156" s="3" t="n"/>
      <c r="G156" s="3" t="n"/>
      <c r="H156" s="3" t="n"/>
    </row>
    <row r="157">
      <c r="A157" s="3" t="n"/>
      <c r="E157" s="6" t="n"/>
      <c r="F157" s="3" t="n"/>
      <c r="G157" s="3" t="n"/>
      <c r="H157" s="3" t="n"/>
    </row>
    <row r="158">
      <c r="A158" s="3" t="n"/>
      <c r="E158" s="6" t="n"/>
      <c r="F158" s="3" t="n"/>
      <c r="G158" s="3" t="n"/>
      <c r="H158" s="3" t="n"/>
    </row>
    <row r="159">
      <c r="A159" s="3" t="n"/>
      <c r="E159" s="6" t="n"/>
      <c r="F159" s="3" t="n"/>
      <c r="G159" s="3" t="n"/>
      <c r="H159" s="3" t="n"/>
    </row>
    <row r="160">
      <c r="A160" s="3" t="n"/>
      <c r="E160" s="6" t="n"/>
      <c r="F160" s="3" t="n"/>
      <c r="G160" s="3" t="n"/>
      <c r="H160" s="3" t="n"/>
    </row>
    <row r="161">
      <c r="A161" s="3" t="n"/>
      <c r="E161" s="6" t="n"/>
      <c r="F161" s="3" t="n"/>
      <c r="G161" s="3" t="n"/>
      <c r="H161" s="3" t="n"/>
    </row>
    <row r="162">
      <c r="A162" s="3" t="n"/>
      <c r="E162" s="6" t="n"/>
      <c r="F162" s="3" t="n"/>
      <c r="G162" s="3" t="n"/>
      <c r="H162" s="3" t="n"/>
    </row>
    <row r="163">
      <c r="A163" s="3" t="n"/>
      <c r="E163" s="6" t="n"/>
      <c r="F163" s="3" t="n"/>
      <c r="G163" s="3" t="n"/>
      <c r="H163" s="3" t="n"/>
    </row>
    <row r="164">
      <c r="A164" s="3" t="n"/>
      <c r="E164" s="6" t="n"/>
      <c r="F164" s="3" t="n"/>
      <c r="G164" s="3" t="n"/>
      <c r="H164" s="3" t="n"/>
    </row>
    <row r="165">
      <c r="A165" s="3" t="n"/>
      <c r="E165" s="6" t="n"/>
      <c r="F165" s="3" t="n"/>
      <c r="G165" s="3" t="n"/>
      <c r="H165" s="3" t="n"/>
    </row>
    <row r="166">
      <c r="A166" s="3" t="n"/>
      <c r="E166" s="6" t="n"/>
      <c r="F166" s="3" t="n"/>
      <c r="G166" s="3" t="n"/>
      <c r="H166" s="3" t="n"/>
    </row>
    <row r="167">
      <c r="A167" s="3" t="n"/>
      <c r="E167" s="6" t="n"/>
      <c r="F167" s="3" t="n"/>
      <c r="G167" s="3" t="n"/>
      <c r="H167" s="3" t="n"/>
    </row>
    <row r="168">
      <c r="A168" s="3" t="n"/>
      <c r="E168" s="6" t="n"/>
      <c r="F168" s="3" t="n"/>
      <c r="G168" s="3" t="n"/>
      <c r="H168" s="3" t="n"/>
    </row>
    <row r="169">
      <c r="A169" s="3" t="n"/>
      <c r="E169" s="6" t="n"/>
      <c r="F169" s="3" t="n"/>
      <c r="G169" s="3" t="n"/>
      <c r="H169" s="3" t="n"/>
    </row>
    <row r="170">
      <c r="A170" s="3" t="n"/>
      <c r="E170" s="6" t="n"/>
      <c r="F170" s="3" t="n"/>
      <c r="G170" s="3" t="n"/>
      <c r="H170" s="3" t="n"/>
    </row>
    <row r="171">
      <c r="A171" s="3" t="n"/>
      <c r="E171" s="6" t="n"/>
      <c r="F171" s="3" t="n"/>
      <c r="G171" s="3" t="n"/>
      <c r="H171" s="3" t="n"/>
    </row>
    <row r="172">
      <c r="A172" s="3" t="n"/>
      <c r="E172" s="6" t="n"/>
      <c r="F172" s="3" t="n"/>
      <c r="G172" s="3" t="n"/>
      <c r="H172" s="3" t="n"/>
    </row>
    <row r="173">
      <c r="A173" s="3" t="n"/>
      <c r="E173" s="6" t="n"/>
      <c r="F173" s="3" t="n"/>
      <c r="G173" s="3" t="n"/>
      <c r="H173" s="3" t="n"/>
    </row>
    <row r="174">
      <c r="A174" s="3" t="n"/>
      <c r="E174" s="6" t="n"/>
      <c r="F174" s="3" t="n"/>
      <c r="G174" s="3" t="n"/>
      <c r="H174" s="3" t="n"/>
    </row>
    <row r="175">
      <c r="A175" s="3" t="n"/>
      <c r="E175" s="6" t="n"/>
      <c r="F175" s="3" t="n"/>
      <c r="G175" s="3" t="n"/>
      <c r="H175" s="3" t="n"/>
    </row>
    <row r="176">
      <c r="A176" s="3" t="n"/>
      <c r="E176" s="6" t="n"/>
      <c r="F176" s="3" t="n"/>
      <c r="G176" s="3" t="n"/>
      <c r="H176" s="3" t="n"/>
    </row>
    <row r="177">
      <c r="A177" s="3" t="n"/>
      <c r="E177" s="6" t="n"/>
      <c r="F177" s="3" t="n"/>
      <c r="G177" s="3" t="n"/>
      <c r="H177" s="3" t="n"/>
    </row>
    <row r="178">
      <c r="A178" s="3" t="n"/>
      <c r="E178" s="6" t="n"/>
      <c r="F178" s="3" t="n"/>
      <c r="G178" s="3" t="n"/>
      <c r="H178" s="3" t="n"/>
    </row>
    <row r="179">
      <c r="A179" s="3" t="n"/>
      <c r="E179" s="6" t="n"/>
      <c r="F179" s="3" t="n"/>
      <c r="G179" s="3" t="n"/>
      <c r="H179" s="3" t="n"/>
    </row>
    <row r="180">
      <c r="A180" s="3" t="n"/>
      <c r="E180" s="6" t="n"/>
      <c r="F180" s="3" t="n"/>
      <c r="G180" s="3" t="n"/>
      <c r="H180" s="3" t="n"/>
    </row>
    <row r="181">
      <c r="A181" s="3" t="n"/>
      <c r="E181" s="6" t="n"/>
      <c r="F181" s="3" t="n"/>
      <c r="G181" s="3" t="n"/>
      <c r="H181" s="3" t="n"/>
    </row>
    <row r="182">
      <c r="A182" s="3" t="n"/>
      <c r="E182" s="6" t="n"/>
      <c r="F182" s="3" t="n"/>
      <c r="G182" s="3" t="n"/>
      <c r="H182" s="3" t="n"/>
    </row>
    <row r="183">
      <c r="A183" s="3" t="n"/>
      <c r="E183" s="6" t="n"/>
      <c r="F183" s="3" t="n"/>
      <c r="G183" s="3" t="n"/>
      <c r="H183" s="3" t="n"/>
    </row>
    <row r="184">
      <c r="A184" s="3" t="n"/>
      <c r="E184" s="6" t="n"/>
      <c r="F184" s="3" t="n"/>
      <c r="G184" s="3" t="n"/>
      <c r="H184" s="3" t="n"/>
    </row>
    <row r="185">
      <c r="A185" s="3" t="n"/>
      <c r="E185" s="6" t="n"/>
      <c r="F185" s="3" t="n"/>
      <c r="G185" s="3" t="n"/>
      <c r="H185" s="3" t="n"/>
    </row>
    <row r="186">
      <c r="A186" s="3" t="n"/>
      <c r="E186" s="6" t="n"/>
      <c r="F186" s="3" t="n"/>
      <c r="G186" s="3" t="n"/>
      <c r="H186" s="3" t="n"/>
    </row>
    <row r="187">
      <c r="A187" s="3" t="n"/>
      <c r="E187" s="6" t="n"/>
      <c r="F187" s="3" t="n"/>
      <c r="G187" s="3" t="n"/>
      <c r="H187" s="3" t="n"/>
    </row>
    <row r="188">
      <c r="A188" s="3" t="n"/>
      <c r="E188" s="6" t="n"/>
      <c r="F188" s="3" t="n"/>
      <c r="G188" s="3" t="n"/>
      <c r="H188" s="3" t="n"/>
    </row>
    <row r="189">
      <c r="A189" s="3" t="n"/>
      <c r="E189" s="6" t="n"/>
      <c r="F189" s="3" t="n"/>
      <c r="G189" s="3" t="n"/>
      <c r="H189" s="3" t="n"/>
    </row>
    <row r="190">
      <c r="A190" s="3" t="n"/>
      <c r="E190" s="6" t="n"/>
      <c r="F190" s="3" t="n"/>
      <c r="G190" s="3" t="n"/>
      <c r="H190" s="3" t="n"/>
    </row>
    <row r="191">
      <c r="A191" s="3" t="n"/>
      <c r="E191" s="6" t="n"/>
      <c r="F191" s="3" t="n"/>
      <c r="G191" s="3" t="n"/>
      <c r="H191" s="3" t="n"/>
    </row>
    <row r="192">
      <c r="A192" s="3" t="n"/>
      <c r="E192" s="6" t="n"/>
      <c r="F192" s="3" t="n"/>
      <c r="G192" s="3" t="n"/>
      <c r="H192" s="3" t="n"/>
    </row>
    <row r="193">
      <c r="A193" s="3" t="n"/>
      <c r="E193" s="6" t="n"/>
      <c r="F193" s="3" t="n"/>
      <c r="G193" s="3" t="n"/>
      <c r="H193" s="3" t="n"/>
    </row>
    <row r="194">
      <c r="A194" s="3" t="n"/>
      <c r="E194" s="6" t="n"/>
      <c r="F194" s="3" t="n"/>
      <c r="G194" s="3" t="n"/>
      <c r="H194" s="3" t="n"/>
    </row>
    <row r="195">
      <c r="A195" s="3" t="n"/>
      <c r="E195" s="6" t="n"/>
      <c r="F195" s="3" t="n"/>
      <c r="G195" s="3" t="n"/>
      <c r="H195" s="3" t="n"/>
    </row>
    <row r="196">
      <c r="A196" s="3" t="n"/>
      <c r="E196" s="6" t="n"/>
      <c r="F196" s="3" t="n"/>
      <c r="G196" s="3" t="n"/>
      <c r="H196" s="3" t="n"/>
    </row>
    <row r="197">
      <c r="A197" s="3" t="n"/>
      <c r="E197" s="6" t="n"/>
      <c r="F197" s="3" t="n"/>
      <c r="G197" s="3" t="n"/>
      <c r="H197" s="3" t="n"/>
    </row>
    <row r="198">
      <c r="A198" s="3" t="n"/>
      <c r="E198" s="6" t="n"/>
      <c r="F198" s="3" t="n"/>
      <c r="G198" s="3" t="n"/>
      <c r="H198" s="3" t="n"/>
    </row>
    <row r="199">
      <c r="A199" s="3" t="n"/>
      <c r="E199" s="6" t="n"/>
      <c r="F199" s="3" t="n"/>
      <c r="G199" s="3" t="n"/>
      <c r="H199" s="3" t="n"/>
    </row>
    <row r="200">
      <c r="A200" s="3" t="n"/>
      <c r="E200" s="6" t="n"/>
      <c r="F200" s="3" t="n"/>
      <c r="G200" s="3" t="n"/>
      <c r="H200" s="3" t="n"/>
    </row>
    <row r="201">
      <c r="A201" s="3" t="n"/>
      <c r="E201" s="6" t="n"/>
      <c r="F201" s="3" t="n"/>
      <c r="G201" s="3" t="n"/>
      <c r="H201" s="3" t="n"/>
    </row>
    <row r="202">
      <c r="A202" s="3" t="n"/>
      <c r="E202" s="6" t="n"/>
      <c r="F202" s="3" t="n"/>
      <c r="G202" s="3" t="n"/>
      <c r="H202" s="3" t="n"/>
    </row>
    <row r="203">
      <c r="A203" s="3" t="n"/>
      <c r="E203" s="6" t="n"/>
      <c r="F203" s="3" t="n"/>
      <c r="G203" s="3" t="n"/>
      <c r="H203" s="3" t="n"/>
    </row>
    <row r="204">
      <c r="A204" s="3" t="n"/>
      <c r="E204" s="6" t="n"/>
      <c r="F204" s="3" t="n"/>
      <c r="G204" s="3" t="n"/>
      <c r="H204" s="3" t="n"/>
    </row>
    <row r="205">
      <c r="A205" s="3" t="n"/>
      <c r="E205" s="6" t="n"/>
      <c r="F205" s="3" t="n"/>
      <c r="G205" s="3" t="n"/>
      <c r="H205" s="3" t="n"/>
    </row>
    <row r="206">
      <c r="A206" s="3" t="n"/>
      <c r="E206" s="6" t="n"/>
      <c r="F206" s="3" t="n"/>
      <c r="G206" s="3" t="n"/>
      <c r="H206" s="3" t="n"/>
    </row>
    <row r="207">
      <c r="A207" s="3" t="n"/>
      <c r="E207" s="6" t="n"/>
      <c r="F207" s="3" t="n"/>
      <c r="G207" s="3" t="n"/>
      <c r="H207" s="3" t="n"/>
    </row>
    <row r="208">
      <c r="A208" s="3" t="n"/>
      <c r="E208" s="6" t="n"/>
      <c r="F208" s="3" t="n"/>
      <c r="G208" s="3" t="n"/>
      <c r="H208" s="3" t="n"/>
    </row>
    <row r="209">
      <c r="A209" s="3" t="n"/>
      <c r="E209" s="6" t="n"/>
      <c r="F209" s="3" t="n"/>
      <c r="G209" s="3" t="n"/>
      <c r="H209" s="3" t="n"/>
    </row>
    <row r="210">
      <c r="A210" s="3" t="n"/>
      <c r="E210" s="6" t="n"/>
      <c r="F210" s="3" t="n"/>
      <c r="G210" s="3" t="n"/>
      <c r="H210" s="3" t="n"/>
    </row>
    <row r="211">
      <c r="A211" s="3" t="n"/>
      <c r="E211" s="6" t="n"/>
      <c r="F211" s="3" t="n"/>
      <c r="G211" s="3" t="n"/>
      <c r="H211" s="3" t="n"/>
    </row>
    <row r="212">
      <c r="A212" s="3" t="n"/>
      <c r="E212" s="6" t="n"/>
      <c r="F212" s="3" t="n"/>
      <c r="G212" s="3" t="n"/>
      <c r="H212" s="3" t="n"/>
    </row>
    <row r="213">
      <c r="A213" s="3" t="n"/>
      <c r="E213" s="6" t="n"/>
      <c r="F213" s="3" t="n"/>
      <c r="G213" s="3" t="n"/>
      <c r="H213" s="3" t="n"/>
    </row>
    <row r="214">
      <c r="A214" s="3" t="n"/>
      <c r="E214" s="6" t="n"/>
      <c r="F214" s="3" t="n"/>
      <c r="G214" s="3" t="n"/>
      <c r="H214" s="3" t="n"/>
    </row>
    <row r="215">
      <c r="A215" s="3" t="n"/>
      <c r="E215" s="6" t="n"/>
      <c r="F215" s="3" t="n"/>
      <c r="G215" s="3" t="n"/>
      <c r="H215" s="3" t="n"/>
    </row>
    <row r="216">
      <c r="A216" s="3" t="n"/>
      <c r="E216" s="6" t="n"/>
      <c r="F216" s="3" t="n"/>
      <c r="G216" s="3" t="n"/>
      <c r="H216" s="3" t="n"/>
    </row>
    <row r="217">
      <c r="A217" s="3" t="n"/>
      <c r="E217" s="6" t="n"/>
      <c r="F217" s="3" t="n"/>
      <c r="G217" s="3" t="n"/>
      <c r="H217" s="3" t="n"/>
    </row>
    <row r="218">
      <c r="A218" s="3" t="n"/>
      <c r="E218" s="6" t="n"/>
      <c r="F218" s="3" t="n"/>
      <c r="G218" s="3" t="n"/>
      <c r="H218" s="3" t="n"/>
    </row>
    <row r="219">
      <c r="A219" s="3" t="n"/>
      <c r="E219" s="6" t="n"/>
      <c r="F219" s="3" t="n"/>
      <c r="G219" s="3" t="n"/>
      <c r="H219" s="3" t="n"/>
    </row>
    <row r="220">
      <c r="A220" s="3" t="n"/>
      <c r="E220" s="6" t="n"/>
      <c r="F220" s="3" t="n"/>
      <c r="G220" s="3" t="n"/>
      <c r="H220" s="3" t="n"/>
    </row>
    <row r="221">
      <c r="A221" s="3" t="n"/>
      <c r="E221" s="6" t="n"/>
      <c r="F221" s="3" t="n"/>
      <c r="G221" s="3" t="n"/>
      <c r="H221" s="3" t="n"/>
    </row>
    <row r="222">
      <c r="A222" s="3" t="n"/>
      <c r="E222" s="6" t="n"/>
      <c r="F222" s="3" t="n"/>
      <c r="G222" s="3" t="n"/>
      <c r="H222" s="3" t="n"/>
    </row>
    <row r="223">
      <c r="A223" s="3" t="n"/>
      <c r="E223" s="6" t="n"/>
      <c r="F223" s="3" t="n"/>
      <c r="G223" s="3" t="n"/>
      <c r="H223" s="3" t="n"/>
    </row>
    <row r="224">
      <c r="A224" s="3" t="n"/>
      <c r="E224" s="6" t="n"/>
      <c r="F224" s="3" t="n"/>
      <c r="G224" s="3" t="n"/>
      <c r="H224" s="3" t="n"/>
    </row>
    <row r="225">
      <c r="A225" s="3" t="n"/>
      <c r="E225" s="6" t="n"/>
      <c r="F225" s="3" t="n"/>
      <c r="G225" s="3" t="n"/>
      <c r="H225" s="3" t="n"/>
    </row>
    <row r="226">
      <c r="A226" s="3" t="n"/>
      <c r="E226" s="6" t="n"/>
      <c r="F226" s="3" t="n"/>
      <c r="G226" s="3" t="n"/>
      <c r="H226" s="3" t="n"/>
    </row>
    <row r="227">
      <c r="A227" s="3" t="n"/>
      <c r="E227" s="6" t="n"/>
      <c r="F227" s="3" t="n"/>
      <c r="G227" s="3" t="n"/>
      <c r="H227" s="3" t="n"/>
    </row>
    <row r="228">
      <c r="A228" s="3" t="n"/>
      <c r="E228" s="6" t="n"/>
      <c r="F228" s="3" t="n"/>
      <c r="G228" s="3" t="n"/>
      <c r="H228" s="3" t="n"/>
    </row>
    <row r="229">
      <c r="A229" s="3" t="n"/>
      <c r="E229" s="6" t="n"/>
      <c r="F229" s="3" t="n"/>
      <c r="G229" s="3" t="n"/>
      <c r="H229" s="3" t="n"/>
    </row>
    <row r="230">
      <c r="A230" s="3" t="n"/>
      <c r="E230" s="6" t="n"/>
      <c r="F230" s="3" t="n"/>
      <c r="G230" s="3" t="n"/>
      <c r="H230" s="3" t="n"/>
    </row>
    <row r="231">
      <c r="A231" s="3" t="n"/>
      <c r="E231" s="6" t="n"/>
      <c r="F231" s="3" t="n"/>
      <c r="G231" s="3" t="n"/>
      <c r="H231" s="3" t="n"/>
    </row>
    <row r="232">
      <c r="A232" s="3" t="n"/>
      <c r="E232" s="6" t="n"/>
      <c r="F232" s="3" t="n"/>
      <c r="G232" s="3" t="n"/>
      <c r="H232" s="3" t="n"/>
    </row>
    <row r="233">
      <c r="A233" s="3" t="n"/>
      <c r="E233" s="6" t="n"/>
      <c r="F233" s="3" t="n"/>
      <c r="G233" s="3" t="n"/>
      <c r="H233" s="3" t="n"/>
    </row>
    <row r="234">
      <c r="A234" s="3" t="n"/>
      <c r="E234" s="6" t="n"/>
      <c r="F234" s="3" t="n"/>
      <c r="G234" s="3" t="n"/>
      <c r="H234" s="3" t="n"/>
    </row>
    <row r="235">
      <c r="A235" s="3" t="n"/>
      <c r="E235" s="6" t="n"/>
      <c r="F235" s="3" t="n"/>
      <c r="G235" s="3" t="n"/>
      <c r="H235" s="3" t="n"/>
    </row>
    <row r="236">
      <c r="A236" s="3" t="n"/>
      <c r="E236" s="6" t="n"/>
      <c r="F236" s="3" t="n"/>
      <c r="G236" s="3" t="n"/>
      <c r="H236" s="3" t="n"/>
    </row>
    <row r="237">
      <c r="A237" s="3" t="n"/>
      <c r="E237" s="6" t="n"/>
      <c r="F237" s="3" t="n"/>
      <c r="G237" s="3" t="n"/>
      <c r="H237" s="3" t="n"/>
    </row>
    <row r="238">
      <c r="A238" s="3" t="n"/>
      <c r="E238" s="6" t="n"/>
      <c r="F238" s="3" t="n"/>
      <c r="G238" s="3" t="n"/>
      <c r="H238" s="3" t="n"/>
    </row>
    <row r="239">
      <c r="A239" s="3" t="n"/>
      <c r="E239" s="6" t="n"/>
      <c r="F239" s="3" t="n"/>
      <c r="G239" s="3" t="n"/>
      <c r="H239" s="3" t="n"/>
    </row>
    <row r="240">
      <c r="A240" s="3" t="n"/>
      <c r="E240" s="6" t="n"/>
      <c r="F240" s="3" t="n"/>
      <c r="G240" s="3" t="n"/>
      <c r="H240" s="3" t="n"/>
    </row>
    <row r="241">
      <c r="A241" s="3" t="n"/>
      <c r="E241" s="6" t="n"/>
      <c r="F241" s="3" t="n"/>
      <c r="G241" s="3" t="n"/>
      <c r="H241" s="3" t="n"/>
    </row>
    <row r="242">
      <c r="A242" s="3" t="n"/>
      <c r="E242" s="6" t="n"/>
      <c r="F242" s="3" t="n"/>
      <c r="G242" s="3" t="n"/>
      <c r="H242" s="3" t="n"/>
    </row>
    <row r="243">
      <c r="A243" s="3" t="n"/>
      <c r="E243" s="6" t="n"/>
      <c r="F243" s="3" t="n"/>
      <c r="G243" s="3" t="n"/>
      <c r="H243" s="3" t="n"/>
    </row>
    <row r="244">
      <c r="A244" s="3" t="n"/>
      <c r="E244" s="6" t="n"/>
      <c r="F244" s="3" t="n"/>
      <c r="G244" s="3" t="n"/>
      <c r="H244" s="3" t="n"/>
    </row>
    <row r="245">
      <c r="A245" s="3" t="n"/>
      <c r="E245" s="6" t="n"/>
      <c r="F245" s="3" t="n"/>
      <c r="G245" s="3" t="n"/>
      <c r="H245" s="3" t="n"/>
    </row>
    <row r="246">
      <c r="A246" s="3" t="n"/>
      <c r="E246" s="6" t="n"/>
      <c r="F246" s="3" t="n"/>
      <c r="G246" s="3" t="n"/>
      <c r="H246" s="3" t="n"/>
    </row>
    <row r="247">
      <c r="A247" s="3" t="n"/>
      <c r="E247" s="6" t="n"/>
      <c r="F247" s="3" t="n"/>
      <c r="G247" s="3" t="n"/>
      <c r="H247" s="3" t="n"/>
    </row>
    <row r="248">
      <c r="A248" s="3" t="n"/>
      <c r="E248" s="6" t="n"/>
      <c r="F248" s="3" t="n"/>
      <c r="G248" s="3" t="n"/>
      <c r="H248" s="3" t="n"/>
    </row>
    <row r="249">
      <c r="A249" s="3" t="n"/>
      <c r="E249" s="6" t="n"/>
      <c r="F249" s="3" t="n"/>
      <c r="G249" s="3" t="n"/>
      <c r="H249" s="3" t="n"/>
    </row>
    <row r="250">
      <c r="A250" s="3" t="n"/>
      <c r="E250" s="6" t="n"/>
      <c r="F250" s="3" t="n"/>
      <c r="G250" s="3" t="n"/>
      <c r="H250" s="3" t="n"/>
    </row>
    <row r="251">
      <c r="A251" s="3" t="n"/>
      <c r="E251" s="6" t="n"/>
      <c r="F251" s="3" t="n"/>
      <c r="G251" s="3" t="n"/>
      <c r="H251" s="3" t="n"/>
    </row>
    <row r="252">
      <c r="A252" s="3" t="n"/>
      <c r="E252" s="6" t="n"/>
      <c r="F252" s="3" t="n"/>
      <c r="G252" s="3" t="n"/>
      <c r="H252" s="3" t="n"/>
    </row>
    <row r="253">
      <c r="A253" s="3" t="n"/>
      <c r="E253" s="6" t="n"/>
      <c r="F253" s="3" t="n"/>
      <c r="G253" s="3" t="n"/>
      <c r="H253" s="3" t="n"/>
    </row>
    <row r="254">
      <c r="A254" s="3" t="n"/>
      <c r="E254" s="6" t="n"/>
      <c r="F254" s="3" t="n"/>
      <c r="G254" s="3" t="n"/>
      <c r="H254" s="3" t="n"/>
    </row>
    <row r="255">
      <c r="A255" s="3" t="n"/>
      <c r="E255" s="6" t="n"/>
      <c r="F255" s="3" t="n"/>
      <c r="G255" s="3" t="n"/>
      <c r="H255" s="3" t="n"/>
    </row>
    <row r="256">
      <c r="A256" s="3" t="n"/>
      <c r="E256" s="6" t="n"/>
      <c r="F256" s="3" t="n"/>
      <c r="G256" s="3" t="n"/>
      <c r="H256" s="3" t="n"/>
    </row>
    <row r="257">
      <c r="A257" s="3" t="n"/>
      <c r="E257" s="6" t="n"/>
      <c r="F257" s="3" t="n"/>
      <c r="G257" s="3" t="n"/>
      <c r="H257" s="3" t="n"/>
    </row>
    <row r="258">
      <c r="A258" s="3" t="n"/>
      <c r="E258" s="6" t="n"/>
      <c r="F258" s="3" t="n"/>
      <c r="G258" s="3" t="n"/>
      <c r="H258" s="3" t="n"/>
    </row>
    <row r="259">
      <c r="A259" s="3" t="n"/>
      <c r="E259" s="6" t="n"/>
      <c r="F259" s="3" t="n"/>
      <c r="G259" s="3" t="n"/>
      <c r="H259" s="3" t="n"/>
    </row>
    <row r="260">
      <c r="A260" s="3" t="n"/>
      <c r="E260" s="6" t="n"/>
      <c r="F260" s="3" t="n"/>
      <c r="G260" s="3" t="n"/>
      <c r="H260" s="3" t="n"/>
    </row>
    <row r="261">
      <c r="A261" s="3" t="n"/>
      <c r="E261" s="6" t="n"/>
      <c r="F261" s="3" t="n"/>
      <c r="G261" s="3" t="n"/>
      <c r="H261" s="3" t="n"/>
    </row>
    <row r="262">
      <c r="A262" s="3" t="n"/>
      <c r="E262" s="6" t="n"/>
      <c r="F262" s="3" t="n"/>
      <c r="G262" s="3" t="n"/>
      <c r="H262" s="3" t="n"/>
    </row>
    <row r="263">
      <c r="A263" s="3" t="n"/>
      <c r="E263" s="6" t="n"/>
      <c r="F263" s="3" t="n"/>
      <c r="G263" s="3" t="n"/>
      <c r="H263" s="3" t="n"/>
    </row>
    <row r="264">
      <c r="A264" s="3" t="n"/>
      <c r="E264" s="6" t="n"/>
      <c r="F264" s="3" t="n"/>
      <c r="G264" s="3" t="n"/>
      <c r="H264" s="3" t="n"/>
    </row>
    <row r="265">
      <c r="A265" s="3" t="n"/>
      <c r="E265" s="6" t="n"/>
      <c r="F265" s="3" t="n"/>
      <c r="G265" s="3" t="n"/>
      <c r="H265" s="3" t="n"/>
    </row>
    <row r="266">
      <c r="A266" s="3" t="n"/>
      <c r="E266" s="6" t="n"/>
      <c r="F266" s="3" t="n"/>
      <c r="G266" s="3" t="n"/>
      <c r="H266" s="3" t="n"/>
    </row>
    <row r="267">
      <c r="A267" s="3" t="n"/>
      <c r="E267" s="6" t="n"/>
      <c r="F267" s="3" t="n"/>
      <c r="G267" s="3" t="n"/>
      <c r="H267" s="3" t="n"/>
    </row>
    <row r="268">
      <c r="A268" s="3" t="n"/>
      <c r="E268" s="6" t="n"/>
      <c r="F268" s="3" t="n"/>
      <c r="G268" s="3" t="n"/>
      <c r="H268" s="3" t="n"/>
    </row>
    <row r="269">
      <c r="A269" s="3" t="n"/>
      <c r="E269" s="6" t="n"/>
      <c r="F269" s="3" t="n"/>
      <c r="G269" s="3" t="n"/>
      <c r="H269" s="3" t="n"/>
    </row>
    <row r="270">
      <c r="A270" s="3" t="n"/>
      <c r="E270" s="6" t="n"/>
      <c r="F270" s="3" t="n"/>
      <c r="G270" s="3" t="n"/>
      <c r="H270" s="3" t="n"/>
    </row>
    <row r="271">
      <c r="A271" s="3" t="n"/>
      <c r="E271" s="6" t="n"/>
      <c r="F271" s="3" t="n"/>
      <c r="G271" s="3" t="n"/>
      <c r="H271" s="3" t="n"/>
    </row>
    <row r="272">
      <c r="A272" s="3" t="n"/>
      <c r="E272" s="6" t="n"/>
      <c r="F272" s="3" t="n"/>
      <c r="G272" s="3" t="n"/>
      <c r="H272" s="3" t="n"/>
    </row>
    <row r="273">
      <c r="A273" s="3" t="n"/>
      <c r="E273" s="6" t="n"/>
      <c r="F273" s="3" t="n"/>
      <c r="G273" s="3" t="n"/>
      <c r="H273" s="3" t="n"/>
    </row>
    <row r="274">
      <c r="A274" s="3" t="n"/>
      <c r="E274" s="6" t="n"/>
      <c r="F274" s="3" t="n"/>
      <c r="G274" s="3" t="n"/>
      <c r="H274" s="3" t="n"/>
    </row>
    <row r="275">
      <c r="A275" s="3" t="n"/>
      <c r="E275" s="6" t="n"/>
      <c r="F275" s="3" t="n"/>
      <c r="G275" s="3" t="n"/>
      <c r="H275" s="3" t="n"/>
    </row>
    <row r="276">
      <c r="A276" s="3" t="n"/>
      <c r="E276" s="6" t="n"/>
      <c r="F276" s="3" t="n"/>
      <c r="G276" s="3" t="n"/>
      <c r="H276" s="3" t="n"/>
    </row>
    <row r="277">
      <c r="A277" s="3" t="n"/>
      <c r="E277" s="6" t="n"/>
      <c r="F277" s="3" t="n"/>
      <c r="G277" s="3" t="n"/>
      <c r="H277" s="3" t="n"/>
    </row>
    <row r="278">
      <c r="A278" s="3" t="n"/>
      <c r="E278" s="6" t="n"/>
      <c r="F278" s="3" t="n"/>
      <c r="G278" s="3" t="n"/>
      <c r="H278" s="3" t="n"/>
    </row>
    <row r="279">
      <c r="A279" s="3" t="n"/>
      <c r="E279" s="6" t="n"/>
      <c r="F279" s="3" t="n"/>
      <c r="G279" s="3" t="n"/>
      <c r="H279" s="3" t="n"/>
    </row>
    <row r="280">
      <c r="A280" s="3" t="n"/>
      <c r="E280" s="6" t="n"/>
      <c r="F280" s="3" t="n"/>
      <c r="G280" s="3" t="n"/>
      <c r="H280" s="3" t="n"/>
    </row>
    <row r="281">
      <c r="A281" s="3" t="n"/>
      <c r="E281" s="6" t="n"/>
      <c r="F281" s="3" t="n"/>
      <c r="G281" s="3" t="n"/>
      <c r="H281" s="3" t="n"/>
    </row>
    <row r="282">
      <c r="A282" s="3" t="n"/>
      <c r="E282" s="6" t="n"/>
      <c r="F282" s="3" t="n"/>
      <c r="G282" s="3" t="n"/>
      <c r="H282" s="3" t="n"/>
    </row>
    <row r="283">
      <c r="A283" s="3" t="n"/>
      <c r="E283" s="6" t="n"/>
      <c r="F283" s="3" t="n"/>
      <c r="G283" s="3" t="n"/>
      <c r="H283" s="3" t="n"/>
    </row>
    <row r="284">
      <c r="A284" s="3" t="n"/>
      <c r="E284" s="6" t="n"/>
      <c r="F284" s="3" t="n"/>
      <c r="G284" s="3" t="n"/>
      <c r="H284" s="3" t="n"/>
    </row>
    <row r="285">
      <c r="A285" s="3" t="n"/>
      <c r="E285" s="6" t="n"/>
      <c r="F285" s="3" t="n"/>
      <c r="G285" s="3" t="n"/>
      <c r="H285" s="3" t="n"/>
    </row>
    <row r="286">
      <c r="A286" s="3" t="n"/>
      <c r="E286" s="6" t="n"/>
      <c r="F286" s="3" t="n"/>
      <c r="G286" s="3" t="n"/>
      <c r="H286" s="3" t="n"/>
    </row>
    <row r="287">
      <c r="A287" s="3" t="n"/>
      <c r="E287" s="6" t="n"/>
      <c r="F287" s="3" t="n"/>
      <c r="G287" s="3" t="n"/>
      <c r="H287" s="3" t="n"/>
    </row>
    <row r="288">
      <c r="A288" s="3" t="n"/>
      <c r="E288" s="6" t="n"/>
      <c r="F288" s="3" t="n"/>
      <c r="G288" s="3" t="n"/>
      <c r="H288" s="3" t="n"/>
    </row>
    <row r="289">
      <c r="A289" s="3" t="n"/>
      <c r="E289" s="6" t="n"/>
      <c r="F289" s="3" t="n"/>
      <c r="G289" s="3" t="n"/>
      <c r="H289" s="3" t="n"/>
    </row>
    <row r="290">
      <c r="A290" s="3" t="n"/>
      <c r="E290" s="6" t="n"/>
      <c r="F290" s="3" t="n"/>
      <c r="G290" s="3" t="n"/>
      <c r="H290" s="3" t="n"/>
    </row>
    <row r="291">
      <c r="A291" s="3" t="n"/>
      <c r="E291" s="6" t="n"/>
      <c r="F291" s="3" t="n"/>
      <c r="G291" s="3" t="n"/>
      <c r="H291" s="3" t="n"/>
    </row>
    <row r="292">
      <c r="A292" s="3" t="n"/>
      <c r="E292" s="6" t="n"/>
      <c r="F292" s="3" t="n"/>
      <c r="G292" s="3" t="n"/>
      <c r="H292" s="3" t="n"/>
    </row>
    <row r="293">
      <c r="A293" s="3" t="n"/>
      <c r="E293" s="6" t="n"/>
      <c r="F293" s="3" t="n"/>
      <c r="G293" s="3" t="n"/>
      <c r="H293" s="3" t="n"/>
    </row>
    <row r="294">
      <c r="A294" s="3" t="n"/>
      <c r="E294" s="6" t="n"/>
      <c r="F294" s="3" t="n"/>
      <c r="G294" s="3" t="n"/>
      <c r="H294" s="3" t="n"/>
    </row>
    <row r="295">
      <c r="A295" s="3" t="n"/>
      <c r="E295" s="6" t="n"/>
      <c r="F295" s="3" t="n"/>
      <c r="G295" s="3" t="n"/>
      <c r="H295" s="3" t="n"/>
    </row>
    <row r="296">
      <c r="A296" s="3" t="n"/>
      <c r="E296" s="6" t="n"/>
      <c r="F296" s="3" t="n"/>
      <c r="G296" s="3" t="n"/>
      <c r="H296" s="3" t="n"/>
    </row>
    <row r="297">
      <c r="A297" s="3" t="n"/>
      <c r="E297" s="6" t="n"/>
      <c r="F297" s="3" t="n"/>
      <c r="G297" s="3" t="n"/>
      <c r="H297" s="3" t="n"/>
    </row>
    <row r="298">
      <c r="A298" s="3" t="n"/>
      <c r="E298" s="6" t="n"/>
      <c r="F298" s="3" t="n"/>
      <c r="G298" s="3" t="n"/>
      <c r="H298" s="3" t="n"/>
    </row>
    <row r="299">
      <c r="A299" s="3" t="n"/>
      <c r="E299" s="6" t="n"/>
      <c r="F299" s="3" t="n"/>
      <c r="G299" s="3" t="n"/>
      <c r="H299" s="3" t="n"/>
    </row>
    <row r="300">
      <c r="A300" s="3" t="n"/>
      <c r="E300" s="6" t="n"/>
      <c r="F300" s="3" t="n"/>
      <c r="G300" s="3" t="n"/>
      <c r="H300" s="3" t="n"/>
    </row>
    <row r="301">
      <c r="A301" s="3" t="n"/>
      <c r="E301" s="6" t="n"/>
      <c r="F301" s="3" t="n"/>
      <c r="G301" s="3" t="n"/>
      <c r="H301" s="3" t="n"/>
    </row>
    <row r="302">
      <c r="A302" s="3" t="n"/>
      <c r="E302" s="6" t="n"/>
      <c r="F302" s="3" t="n"/>
      <c r="G302" s="3" t="n"/>
      <c r="H302" s="3" t="n"/>
    </row>
    <row r="303">
      <c r="A303" s="3" t="n"/>
      <c r="E303" s="6" t="n"/>
      <c r="F303" s="3" t="n"/>
      <c r="G303" s="3" t="n"/>
      <c r="H303" s="3" t="n"/>
    </row>
    <row r="304">
      <c r="A304" s="3" t="n"/>
      <c r="E304" s="6" t="n"/>
      <c r="F304" s="3" t="n"/>
      <c r="G304" s="3" t="n"/>
      <c r="H304" s="3" t="n"/>
    </row>
    <row r="305">
      <c r="A305" s="3" t="n"/>
      <c r="E305" s="6" t="n"/>
      <c r="F305" s="3" t="n"/>
      <c r="G305" s="3" t="n"/>
      <c r="H305" s="3" t="n"/>
    </row>
    <row r="306">
      <c r="A306" s="3" t="n"/>
      <c r="E306" s="6" t="n"/>
      <c r="F306" s="3" t="n"/>
      <c r="G306" s="3" t="n"/>
      <c r="H306" s="3" t="n"/>
    </row>
    <row r="307">
      <c r="A307" s="3" t="n"/>
      <c r="E307" s="6" t="n"/>
      <c r="F307" s="3" t="n"/>
      <c r="G307" s="3" t="n"/>
      <c r="H307" s="3" t="n"/>
    </row>
    <row r="308">
      <c r="A308" s="3" t="n"/>
      <c r="E308" s="6" t="n"/>
      <c r="F308" s="3" t="n"/>
      <c r="G308" s="3" t="n"/>
      <c r="H308" s="3" t="n"/>
    </row>
    <row r="309">
      <c r="A309" s="3" t="n"/>
      <c r="E309" s="6" t="n"/>
      <c r="F309" s="3" t="n"/>
      <c r="G309" s="3" t="n"/>
      <c r="H309" s="3" t="n"/>
    </row>
    <row r="310">
      <c r="A310" s="3" t="n"/>
      <c r="E310" s="6" t="n"/>
      <c r="F310" s="3" t="n"/>
      <c r="G310" s="3" t="n"/>
      <c r="H310" s="3" t="n"/>
    </row>
    <row r="311">
      <c r="A311" s="3" t="n"/>
      <c r="E311" s="6" t="n"/>
      <c r="F311" s="3" t="n"/>
      <c r="G311" s="3" t="n"/>
      <c r="H311" s="3" t="n"/>
    </row>
    <row r="312">
      <c r="A312" s="3" t="n"/>
      <c r="E312" s="6" t="n"/>
      <c r="F312" s="3" t="n"/>
      <c r="G312" s="3" t="n"/>
      <c r="H312" s="3" t="n"/>
    </row>
    <row r="313">
      <c r="A313" s="3" t="n"/>
      <c r="E313" s="6" t="n"/>
      <c r="F313" s="3" t="n"/>
      <c r="G313" s="3" t="n"/>
      <c r="H313" s="3" t="n"/>
    </row>
    <row r="314">
      <c r="A314" s="3" t="n"/>
      <c r="E314" s="6" t="n"/>
      <c r="F314" s="3" t="n"/>
      <c r="G314" s="3" t="n"/>
      <c r="H314" s="3" t="n"/>
    </row>
    <row r="315">
      <c r="A315" s="3" t="n"/>
      <c r="E315" s="6" t="n"/>
      <c r="F315" s="3" t="n"/>
      <c r="G315" s="3" t="n"/>
      <c r="H315" s="3" t="n"/>
    </row>
    <row r="316">
      <c r="A316" s="3" t="n"/>
      <c r="E316" s="6" t="n"/>
      <c r="F316" s="3" t="n"/>
      <c r="G316" s="3" t="n"/>
      <c r="H316" s="3" t="n"/>
    </row>
    <row r="317">
      <c r="A317" s="3" t="n"/>
      <c r="E317" s="6" t="n"/>
      <c r="F317" s="3" t="n"/>
      <c r="G317" s="3" t="n"/>
      <c r="H317" s="3" t="n"/>
    </row>
    <row r="318">
      <c r="A318" s="3" t="n"/>
      <c r="E318" s="6" t="n"/>
      <c r="F318" s="3" t="n"/>
      <c r="G318" s="3" t="n"/>
      <c r="H318" s="3" t="n"/>
    </row>
    <row r="319">
      <c r="A319" s="3" t="n"/>
      <c r="E319" s="6" t="n"/>
      <c r="F319" s="3" t="n"/>
      <c r="G319" s="3" t="n"/>
      <c r="H319" s="3" t="n"/>
    </row>
    <row r="320">
      <c r="A320" s="3" t="n"/>
      <c r="E320" s="6" t="n"/>
      <c r="F320" s="3" t="n"/>
      <c r="G320" s="3" t="n"/>
      <c r="H320" s="3" t="n"/>
    </row>
    <row r="321">
      <c r="A321" s="3" t="n"/>
      <c r="E321" s="6" t="n"/>
      <c r="F321" s="3" t="n"/>
      <c r="G321" s="3" t="n"/>
      <c r="H321" s="3" t="n"/>
    </row>
    <row r="322">
      <c r="A322" s="3" t="n"/>
      <c r="E322" s="6" t="n"/>
      <c r="F322" s="3" t="n"/>
      <c r="G322" s="3" t="n"/>
      <c r="H322" s="3" t="n"/>
    </row>
    <row r="323">
      <c r="A323" s="3" t="n"/>
      <c r="E323" s="6" t="n"/>
      <c r="F323" s="3" t="n"/>
      <c r="G323" s="3" t="n"/>
      <c r="H323" s="3" t="n"/>
    </row>
    <row r="324">
      <c r="A324" s="3" t="n"/>
      <c r="E324" s="6" t="n"/>
      <c r="F324" s="3" t="n"/>
      <c r="G324" s="3" t="n"/>
      <c r="H324" s="3" t="n"/>
    </row>
    <row r="325">
      <c r="A325" s="3" t="n"/>
      <c r="E325" s="6" t="n"/>
      <c r="F325" s="3" t="n"/>
      <c r="G325" s="3" t="n"/>
      <c r="H325" s="3" t="n"/>
    </row>
    <row r="326">
      <c r="A326" s="3" t="n"/>
      <c r="E326" s="6" t="n"/>
      <c r="F326" s="3" t="n"/>
      <c r="G326" s="3" t="n"/>
      <c r="H326" s="3" t="n"/>
    </row>
    <row r="327">
      <c r="A327" s="3" t="n"/>
      <c r="E327" s="6" t="n"/>
      <c r="F327" s="3" t="n"/>
      <c r="G327" s="3" t="n"/>
      <c r="H327" s="3" t="n"/>
    </row>
    <row r="328">
      <c r="A328" s="3" t="n"/>
      <c r="E328" s="6" t="n"/>
      <c r="F328" s="3" t="n"/>
      <c r="G328" s="3" t="n"/>
      <c r="H328" s="3" t="n"/>
    </row>
    <row r="329">
      <c r="A329" s="3" t="n"/>
      <c r="E329" s="6" t="n"/>
      <c r="F329" s="3" t="n"/>
      <c r="G329" s="3" t="n"/>
      <c r="H329" s="3" t="n"/>
    </row>
    <row r="330">
      <c r="A330" s="3" t="n"/>
      <c r="E330" s="6" t="n"/>
      <c r="F330" s="3" t="n"/>
      <c r="G330" s="3" t="n"/>
      <c r="H330" s="3" t="n"/>
    </row>
    <row r="331">
      <c r="A331" s="3" t="n"/>
      <c r="E331" s="6" t="n"/>
      <c r="F331" s="3" t="n"/>
      <c r="G331" s="3" t="n"/>
      <c r="H331" s="3" t="n"/>
    </row>
    <row r="332">
      <c r="A332" s="3" t="n"/>
      <c r="E332" s="6" t="n"/>
      <c r="F332" s="3" t="n"/>
      <c r="G332" s="3" t="n"/>
      <c r="H332" s="3" t="n"/>
    </row>
    <row r="333">
      <c r="A333" s="3" t="n"/>
      <c r="E333" s="6" t="n"/>
      <c r="F333" s="3" t="n"/>
      <c r="G333" s="3" t="n"/>
      <c r="H333" s="3" t="n"/>
    </row>
    <row r="334">
      <c r="A334" s="3" t="n"/>
      <c r="E334" s="6" t="n"/>
      <c r="F334" s="3" t="n"/>
      <c r="G334" s="3" t="n"/>
      <c r="H334" s="3" t="n"/>
    </row>
    <row r="335">
      <c r="A335" s="3" t="n"/>
      <c r="E335" s="6" t="n"/>
      <c r="F335" s="3" t="n"/>
      <c r="G335" s="3" t="n"/>
      <c r="H335" s="3" t="n"/>
    </row>
    <row r="336">
      <c r="A336" s="3" t="n"/>
      <c r="E336" s="6" t="n"/>
      <c r="F336" s="3" t="n"/>
      <c r="G336" s="3" t="n"/>
      <c r="H336" s="3" t="n"/>
    </row>
    <row r="337">
      <c r="A337" s="3" t="n"/>
      <c r="E337" s="6" t="n"/>
      <c r="F337" s="3" t="n"/>
      <c r="G337" s="3" t="n"/>
      <c r="H337" s="3" t="n"/>
    </row>
    <row r="338">
      <c r="A338" s="3" t="n"/>
      <c r="E338" s="6" t="n"/>
      <c r="F338" s="3" t="n"/>
      <c r="G338" s="3" t="n"/>
      <c r="H338" s="3" t="n"/>
    </row>
    <row r="339">
      <c r="A339" s="3" t="n"/>
      <c r="E339" s="6" t="n"/>
      <c r="F339" s="3" t="n"/>
      <c r="G339" s="3" t="n"/>
      <c r="H339" s="3" t="n"/>
    </row>
    <row r="340">
      <c r="A340" s="3" t="n"/>
      <c r="E340" s="6" t="n"/>
      <c r="F340" s="3" t="n"/>
      <c r="G340" s="3" t="n"/>
      <c r="H340" s="3" t="n"/>
    </row>
    <row r="341">
      <c r="A341" s="3" t="n"/>
      <c r="E341" s="6" t="n"/>
      <c r="F341" s="3" t="n"/>
      <c r="G341" s="3" t="n"/>
      <c r="H341" s="3" t="n"/>
    </row>
    <row r="342">
      <c r="A342" s="3" t="n"/>
      <c r="E342" s="6" t="n"/>
      <c r="F342" s="3" t="n"/>
      <c r="G342" s="3" t="n"/>
      <c r="H342" s="3" t="n"/>
    </row>
    <row r="343">
      <c r="A343" s="3" t="n"/>
      <c r="E343" s="6" t="n"/>
      <c r="F343" s="3" t="n"/>
      <c r="G343" s="3" t="n"/>
      <c r="H343" s="3" t="n"/>
    </row>
    <row r="344">
      <c r="A344" s="3" t="n"/>
      <c r="E344" s="6" t="n"/>
      <c r="F344" s="3" t="n"/>
      <c r="G344" s="3" t="n"/>
      <c r="H344" s="3" t="n"/>
    </row>
    <row r="345">
      <c r="A345" s="3" t="n"/>
      <c r="E345" s="6" t="n"/>
      <c r="F345" s="3" t="n"/>
      <c r="G345" s="3" t="n"/>
      <c r="H345" s="3" t="n"/>
    </row>
    <row r="346">
      <c r="A346" s="3" t="n"/>
      <c r="E346" s="6" t="n"/>
      <c r="F346" s="3" t="n"/>
      <c r="G346" s="3" t="n"/>
      <c r="H346" s="3" t="n"/>
    </row>
    <row r="347">
      <c r="A347" s="3" t="n"/>
      <c r="E347" s="6" t="n"/>
      <c r="F347" s="3" t="n"/>
      <c r="G347" s="3" t="n"/>
      <c r="H347" s="3" t="n"/>
    </row>
    <row r="348">
      <c r="A348" s="3" t="n"/>
      <c r="E348" s="6" t="n"/>
      <c r="F348" s="3" t="n"/>
      <c r="G348" s="3" t="n"/>
      <c r="H348" s="3" t="n"/>
    </row>
    <row r="349">
      <c r="A349" s="3" t="n"/>
      <c r="E349" s="6" t="n"/>
      <c r="F349" s="3" t="n"/>
      <c r="G349" s="3" t="n"/>
      <c r="H349" s="3" t="n"/>
    </row>
    <row r="350">
      <c r="A350" s="3" t="n"/>
      <c r="E350" s="6" t="n"/>
      <c r="F350" s="3" t="n"/>
      <c r="G350" s="3" t="n"/>
      <c r="H350" s="3" t="n"/>
    </row>
    <row r="351">
      <c r="A351" s="3" t="n"/>
      <c r="E351" s="6" t="n"/>
      <c r="F351" s="3" t="n"/>
      <c r="G351" s="3" t="n"/>
      <c r="H351" s="3" t="n"/>
    </row>
    <row r="352">
      <c r="A352" s="3" t="n"/>
      <c r="E352" s="6" t="n"/>
      <c r="F352" s="3" t="n"/>
      <c r="G352" s="3" t="n"/>
      <c r="H352" s="3" t="n"/>
    </row>
    <row r="353">
      <c r="A353" s="3" t="n"/>
      <c r="E353" s="6" t="n"/>
      <c r="F353" s="3" t="n"/>
      <c r="G353" s="3" t="n"/>
      <c r="H353" s="3" t="n"/>
    </row>
    <row r="354">
      <c r="A354" s="3" t="n"/>
      <c r="E354" s="6" t="n"/>
      <c r="F354" s="3" t="n"/>
      <c r="G354" s="3" t="n"/>
      <c r="H354" s="3" t="n"/>
    </row>
    <row r="355">
      <c r="A355" s="3" t="n"/>
      <c r="E355" s="6" t="n"/>
      <c r="F355" s="3" t="n"/>
      <c r="G355" s="3" t="n"/>
      <c r="H355" s="3" t="n"/>
    </row>
    <row r="356">
      <c r="A356" s="3" t="n"/>
      <c r="E356" s="6" t="n"/>
      <c r="F356" s="3" t="n"/>
      <c r="G356" s="3" t="n"/>
      <c r="H356" s="3" t="n"/>
    </row>
    <row r="357">
      <c r="A357" s="3" t="n"/>
      <c r="E357" s="6" t="n"/>
      <c r="F357" s="3" t="n"/>
      <c r="G357" s="3" t="n"/>
      <c r="H357" s="3" t="n"/>
    </row>
    <row r="358">
      <c r="A358" s="3" t="n"/>
      <c r="E358" s="6" t="n"/>
      <c r="F358" s="3" t="n"/>
      <c r="G358" s="3" t="n"/>
      <c r="H358" s="3" t="n"/>
    </row>
    <row r="359">
      <c r="A359" s="3" t="n"/>
      <c r="E359" s="6" t="n"/>
      <c r="F359" s="3" t="n"/>
      <c r="G359" s="3" t="n"/>
      <c r="H359" s="3" t="n"/>
    </row>
    <row r="360">
      <c r="A360" s="3" t="n"/>
      <c r="E360" s="6" t="n"/>
      <c r="F360" s="3" t="n"/>
      <c r="G360" s="3" t="n"/>
      <c r="H360" s="3" t="n"/>
    </row>
    <row r="361">
      <c r="A361" s="3" t="n"/>
      <c r="E361" s="6" t="n"/>
      <c r="F361" s="3" t="n"/>
      <c r="G361" s="3" t="n"/>
      <c r="H361" s="3" t="n"/>
    </row>
    <row r="362">
      <c r="A362" s="3" t="n"/>
      <c r="E362" s="6" t="n"/>
      <c r="F362" s="3" t="n"/>
      <c r="G362" s="3" t="n"/>
      <c r="H362" s="3" t="n"/>
    </row>
    <row r="363">
      <c r="A363" s="3" t="n"/>
      <c r="E363" s="6" t="n"/>
      <c r="F363" s="3" t="n"/>
      <c r="G363" s="3" t="n"/>
      <c r="H363" s="3" t="n"/>
    </row>
    <row r="364">
      <c r="A364" s="3" t="n"/>
      <c r="E364" s="6" t="n"/>
      <c r="F364" s="3" t="n"/>
      <c r="G364" s="3" t="n"/>
      <c r="H364" s="3" t="n"/>
    </row>
    <row r="365">
      <c r="A365" s="3" t="n"/>
      <c r="E365" s="6" t="n"/>
      <c r="F365" s="3" t="n"/>
      <c r="G365" s="3" t="n"/>
      <c r="H365" s="3" t="n"/>
    </row>
    <row r="366">
      <c r="A366" s="3" t="n"/>
      <c r="E366" s="6" t="n"/>
      <c r="F366" s="3" t="n"/>
      <c r="G366" s="3" t="n"/>
      <c r="H366" s="3" t="n"/>
    </row>
    <row r="367">
      <c r="A367" s="3" t="n"/>
      <c r="E367" s="6" t="n"/>
      <c r="F367" s="3" t="n"/>
      <c r="G367" s="3" t="n"/>
      <c r="H367" s="3" t="n"/>
    </row>
    <row r="368">
      <c r="A368" s="3" t="n"/>
      <c r="E368" s="6" t="n"/>
      <c r="F368" s="3" t="n"/>
      <c r="G368" s="3" t="n"/>
      <c r="H368" s="3" t="n"/>
    </row>
    <row r="369">
      <c r="A369" s="3" t="n"/>
      <c r="E369" s="6" t="n"/>
      <c r="F369" s="3" t="n"/>
      <c r="G369" s="3" t="n"/>
      <c r="H369" s="3" t="n"/>
    </row>
    <row r="370">
      <c r="A370" s="3" t="n"/>
      <c r="E370" s="6" t="n"/>
      <c r="F370" s="3" t="n"/>
      <c r="G370" s="3" t="n"/>
      <c r="H370" s="3" t="n"/>
    </row>
    <row r="371">
      <c r="A371" s="3" t="n"/>
      <c r="E371" s="6" t="n"/>
      <c r="F371" s="3" t="n"/>
      <c r="G371" s="3" t="n"/>
      <c r="H371" s="3" t="n"/>
    </row>
    <row r="372">
      <c r="A372" s="3" t="n"/>
      <c r="E372" s="6" t="n"/>
      <c r="F372" s="3" t="n"/>
      <c r="G372" s="3" t="n"/>
      <c r="H372" s="3" t="n"/>
    </row>
    <row r="373">
      <c r="A373" s="3" t="n"/>
      <c r="E373" s="6" t="n"/>
      <c r="F373" s="3" t="n"/>
      <c r="G373" s="3" t="n"/>
      <c r="H373" s="3" t="n"/>
    </row>
    <row r="374">
      <c r="A374" s="3" t="n"/>
      <c r="E374" s="6" t="n"/>
      <c r="F374" s="3" t="n"/>
      <c r="G374" s="3" t="n"/>
      <c r="H374" s="3" t="n"/>
    </row>
    <row r="375">
      <c r="A375" s="3" t="n"/>
      <c r="E375" s="6" t="n"/>
      <c r="F375" s="3" t="n"/>
      <c r="G375" s="3" t="n"/>
      <c r="H375" s="3" t="n"/>
    </row>
    <row r="376">
      <c r="A376" s="3" t="n"/>
      <c r="E376" s="6" t="n"/>
      <c r="F376" s="3" t="n"/>
      <c r="G376" s="3" t="n"/>
      <c r="H376" s="3" t="n"/>
    </row>
    <row r="377">
      <c r="A377" s="3" t="n"/>
      <c r="E377" s="6" t="n"/>
      <c r="F377" s="3" t="n"/>
      <c r="G377" s="3" t="n"/>
      <c r="H377" s="3" t="n"/>
    </row>
    <row r="378">
      <c r="A378" s="3" t="n"/>
      <c r="E378" s="6" t="n"/>
      <c r="F378" s="3" t="n"/>
      <c r="G378" s="3" t="n"/>
      <c r="H378" s="3" t="n"/>
    </row>
    <row r="379">
      <c r="A379" s="3" t="n"/>
      <c r="E379" s="6" t="n"/>
      <c r="F379" s="3" t="n"/>
      <c r="G379" s="3" t="n"/>
      <c r="H379" s="3" t="n"/>
    </row>
    <row r="380">
      <c r="A380" s="3" t="n"/>
      <c r="E380" s="6" t="n"/>
      <c r="F380" s="3" t="n"/>
      <c r="G380" s="3" t="n"/>
      <c r="H380" s="3" t="n"/>
    </row>
    <row r="381">
      <c r="A381" s="3" t="n"/>
      <c r="E381" s="6" t="n"/>
      <c r="F381" s="3" t="n"/>
      <c r="G381" s="3" t="n"/>
      <c r="H381" s="3" t="n"/>
    </row>
    <row r="382">
      <c r="A382" s="3" t="n"/>
      <c r="E382" s="6" t="n"/>
      <c r="F382" s="3" t="n"/>
      <c r="G382" s="3" t="n"/>
      <c r="H382" s="3" t="n"/>
    </row>
    <row r="383">
      <c r="A383" s="3" t="n"/>
      <c r="E383" s="6" t="n"/>
      <c r="F383" s="3" t="n"/>
      <c r="G383" s="3" t="n"/>
      <c r="H383" s="3" t="n"/>
    </row>
    <row r="384">
      <c r="A384" s="3" t="n"/>
      <c r="E384" s="6" t="n"/>
      <c r="F384" s="3" t="n"/>
      <c r="G384" s="3" t="n"/>
      <c r="H384" s="3" t="n"/>
    </row>
    <row r="385">
      <c r="A385" s="3" t="n"/>
      <c r="E385" s="6" t="n"/>
      <c r="F385" s="3" t="n"/>
      <c r="G385" s="3" t="n"/>
      <c r="H385" s="3" t="n"/>
    </row>
    <row r="386">
      <c r="A386" s="3" t="n"/>
      <c r="E386" s="6" t="n"/>
      <c r="F386" s="3" t="n"/>
      <c r="G386" s="3" t="n"/>
      <c r="H386" s="3" t="n"/>
    </row>
    <row r="387">
      <c r="A387" s="3" t="n"/>
      <c r="E387" s="6" t="n"/>
      <c r="F387" s="3" t="n"/>
      <c r="G387" s="3" t="n"/>
      <c r="H387" s="3" t="n"/>
    </row>
    <row r="388">
      <c r="A388" s="3" t="n"/>
      <c r="E388" s="6" t="n"/>
      <c r="F388" s="3" t="n"/>
      <c r="G388" s="3" t="n"/>
      <c r="H388" s="3" t="n"/>
    </row>
    <row r="389">
      <c r="A389" s="3" t="n"/>
      <c r="E389" s="6" t="n"/>
      <c r="F389" s="3" t="n"/>
      <c r="G389" s="3" t="n"/>
      <c r="H389" s="3" t="n"/>
    </row>
    <row r="390">
      <c r="A390" s="3" t="n"/>
      <c r="E390" s="6" t="n"/>
      <c r="F390" s="3" t="n"/>
      <c r="G390" s="3" t="n"/>
      <c r="H390" s="3" t="n"/>
    </row>
    <row r="391">
      <c r="A391" s="3" t="n"/>
      <c r="E391" s="6" t="n"/>
      <c r="F391" s="3" t="n"/>
      <c r="G391" s="3" t="n"/>
      <c r="H391" s="3" t="n"/>
    </row>
    <row r="392">
      <c r="A392" s="3" t="n"/>
      <c r="E392" s="6" t="n"/>
      <c r="F392" s="3" t="n"/>
      <c r="G392" s="3" t="n"/>
      <c r="H392" s="3" t="n"/>
    </row>
    <row r="393">
      <c r="A393" s="3" t="n"/>
      <c r="E393" s="6" t="n"/>
      <c r="F393" s="3" t="n"/>
      <c r="G393" s="3" t="n"/>
      <c r="H393" s="3" t="n"/>
    </row>
    <row r="394">
      <c r="A394" s="3" t="n"/>
      <c r="E394" s="6" t="n"/>
      <c r="F394" s="3" t="n"/>
      <c r="G394" s="3" t="n"/>
      <c r="H394" s="3" t="n"/>
    </row>
    <row r="395">
      <c r="A395" s="3" t="n"/>
      <c r="E395" s="6" t="n"/>
      <c r="F395" s="3" t="n"/>
      <c r="G395" s="3" t="n"/>
      <c r="H395" s="3" t="n"/>
    </row>
    <row r="396">
      <c r="A396" s="3" t="n"/>
      <c r="E396" s="6" t="n"/>
      <c r="F396" s="3" t="n"/>
      <c r="G396" s="3" t="n"/>
      <c r="H396" s="3" t="n"/>
    </row>
    <row r="397">
      <c r="A397" s="3" t="n"/>
      <c r="E397" s="6" t="n"/>
      <c r="F397" s="3" t="n"/>
      <c r="G397" s="3" t="n"/>
      <c r="H397" s="3" t="n"/>
    </row>
    <row r="398">
      <c r="A398" s="3" t="n"/>
      <c r="E398" s="6" t="n"/>
      <c r="F398" s="3" t="n"/>
      <c r="G398" s="3" t="n"/>
      <c r="H398" s="3" t="n"/>
    </row>
    <row r="399">
      <c r="A399" s="3" t="n"/>
      <c r="E399" s="6" t="n"/>
      <c r="F399" s="3" t="n"/>
      <c r="G399" s="3" t="n"/>
      <c r="H399" s="3" t="n"/>
    </row>
    <row r="400">
      <c r="A400" s="3" t="n"/>
      <c r="E400" s="6" t="n"/>
      <c r="F400" s="3" t="n"/>
      <c r="G400" s="3" t="n"/>
      <c r="H400" s="3" t="n"/>
    </row>
    <row r="401">
      <c r="A401" s="3" t="n"/>
      <c r="E401" s="6" t="n"/>
      <c r="F401" s="3" t="n"/>
      <c r="G401" s="3" t="n"/>
      <c r="H401" s="3" t="n"/>
    </row>
    <row r="402">
      <c r="A402" s="3" t="n"/>
      <c r="E402" s="6" t="n"/>
      <c r="F402" s="3" t="n"/>
      <c r="G402" s="3" t="n"/>
      <c r="H402" s="3" t="n"/>
    </row>
    <row r="403">
      <c r="A403" s="3" t="n"/>
      <c r="E403" s="6" t="n"/>
      <c r="F403" s="3" t="n"/>
      <c r="G403" s="3" t="n"/>
      <c r="H403" s="3" t="n"/>
    </row>
    <row r="404">
      <c r="A404" s="3" t="n"/>
      <c r="E404" s="6" t="n"/>
      <c r="F404" s="3" t="n"/>
      <c r="G404" s="3" t="n"/>
      <c r="H404" s="3" t="n"/>
    </row>
    <row r="405">
      <c r="A405" s="3" t="n"/>
      <c r="E405" s="6" t="n"/>
      <c r="F405" s="3" t="n"/>
      <c r="G405" s="3" t="n"/>
      <c r="H405" s="3" t="n"/>
    </row>
    <row r="406">
      <c r="A406" s="3" t="n"/>
      <c r="E406" s="6" t="n"/>
      <c r="F406" s="3" t="n"/>
      <c r="G406" s="3" t="n"/>
      <c r="H406" s="3" t="n"/>
    </row>
    <row r="407">
      <c r="A407" s="3" t="n"/>
      <c r="E407" s="6" t="n"/>
      <c r="F407" s="3" t="n"/>
      <c r="G407" s="3" t="n"/>
      <c r="H407" s="3" t="n"/>
    </row>
    <row r="408">
      <c r="A408" s="3" t="n"/>
      <c r="E408" s="6" t="n"/>
      <c r="F408" s="3" t="n"/>
      <c r="G408" s="3" t="n"/>
      <c r="H408" s="3" t="n"/>
    </row>
    <row r="409">
      <c r="A409" s="3" t="n"/>
      <c r="E409" s="6" t="n"/>
      <c r="F409" s="3" t="n"/>
      <c r="G409" s="3" t="n"/>
      <c r="H409" s="3" t="n"/>
    </row>
    <row r="410">
      <c r="A410" s="3" t="n"/>
      <c r="E410" s="6" t="n"/>
      <c r="F410" s="3" t="n"/>
      <c r="G410" s="3" t="n"/>
      <c r="H410" s="3" t="n"/>
    </row>
    <row r="411">
      <c r="A411" s="3" t="n"/>
      <c r="E411" s="6" t="n"/>
      <c r="F411" s="3" t="n"/>
      <c r="G411" s="3" t="n"/>
      <c r="H411" s="3" t="n"/>
    </row>
    <row r="412">
      <c r="A412" s="3" t="n"/>
      <c r="E412" s="6" t="n"/>
      <c r="F412" s="3" t="n"/>
      <c r="G412" s="3" t="n"/>
      <c r="H412" s="3" t="n"/>
    </row>
    <row r="413">
      <c r="A413" s="3" t="n"/>
      <c r="E413" s="6" t="n"/>
      <c r="F413" s="3" t="n"/>
      <c r="G413" s="3" t="n"/>
      <c r="H413" s="3" t="n"/>
    </row>
    <row r="414">
      <c r="A414" s="3" t="n"/>
      <c r="E414" s="6" t="n"/>
      <c r="F414" s="3" t="n"/>
      <c r="G414" s="3" t="n"/>
      <c r="H414" s="3" t="n"/>
    </row>
    <row r="415">
      <c r="A415" s="3" t="n"/>
      <c r="E415" s="6" t="n"/>
      <c r="F415" s="3" t="n"/>
      <c r="G415" s="3" t="n"/>
      <c r="H415" s="3" t="n"/>
    </row>
    <row r="416">
      <c r="A416" s="3" t="n"/>
      <c r="E416" s="6" t="n"/>
      <c r="F416" s="3" t="n"/>
      <c r="G416" s="3" t="n"/>
      <c r="H416" s="3" t="n"/>
    </row>
    <row r="417">
      <c r="A417" s="3" t="n"/>
      <c r="E417" s="6" t="n"/>
      <c r="F417" s="3" t="n"/>
      <c r="G417" s="3" t="n"/>
      <c r="H417" s="3" t="n"/>
    </row>
    <row r="418">
      <c r="A418" s="3" t="n"/>
      <c r="E418" s="6" t="n"/>
      <c r="F418" s="3" t="n"/>
      <c r="G418" s="3" t="n"/>
      <c r="H418" s="3" t="n"/>
    </row>
    <row r="419">
      <c r="A419" s="3" t="n"/>
      <c r="E419" s="6" t="n"/>
      <c r="F419" s="3" t="n"/>
      <c r="G419" s="3" t="n"/>
      <c r="H419" s="3" t="n"/>
    </row>
    <row r="420">
      <c r="A420" s="3" t="n"/>
      <c r="E420" s="6" t="n"/>
      <c r="F420" s="3" t="n"/>
      <c r="G420" s="3" t="n"/>
      <c r="H420" s="3" t="n"/>
    </row>
    <row r="421">
      <c r="A421" s="3" t="n"/>
      <c r="E421" s="6" t="n"/>
      <c r="F421" s="3" t="n"/>
      <c r="G421" s="3" t="n"/>
      <c r="H421" s="3" t="n"/>
    </row>
    <row r="422">
      <c r="A422" s="3" t="n"/>
      <c r="E422" s="6" t="n"/>
      <c r="F422" s="3" t="n"/>
      <c r="G422" s="3" t="n"/>
      <c r="H422" s="3" t="n"/>
    </row>
    <row r="423">
      <c r="A423" s="3" t="n"/>
      <c r="E423" s="6" t="n"/>
      <c r="F423" s="3" t="n"/>
      <c r="G423" s="3" t="n"/>
      <c r="H423" s="3" t="n"/>
    </row>
    <row r="424">
      <c r="A424" s="3" t="n"/>
      <c r="E424" s="6" t="n"/>
      <c r="F424" s="3" t="n"/>
      <c r="G424" s="3" t="n"/>
      <c r="H424" s="3" t="n"/>
    </row>
    <row r="425">
      <c r="A425" s="3" t="n"/>
      <c r="E425" s="6" t="n"/>
      <c r="F425" s="3" t="n"/>
      <c r="G425" s="3" t="n"/>
      <c r="H425" s="3" t="n"/>
    </row>
    <row r="426">
      <c r="A426" s="3" t="n"/>
      <c r="E426" s="6" t="n"/>
      <c r="F426" s="3" t="n"/>
      <c r="G426" s="3" t="n"/>
      <c r="H426" s="3" t="n"/>
    </row>
    <row r="427">
      <c r="A427" s="3" t="n"/>
      <c r="E427" s="6" t="n"/>
      <c r="F427" s="3" t="n"/>
      <c r="G427" s="3" t="n"/>
      <c r="H427" s="3" t="n"/>
    </row>
    <row r="428">
      <c r="A428" s="3" t="n"/>
      <c r="E428" s="6" t="n"/>
      <c r="F428" s="3" t="n"/>
      <c r="G428" s="3" t="n"/>
      <c r="H428" s="3" t="n"/>
    </row>
    <row r="429">
      <c r="A429" s="3" t="n"/>
      <c r="E429" s="6" t="n"/>
      <c r="F429" s="3" t="n"/>
      <c r="G429" s="3" t="n"/>
      <c r="H429" s="3" t="n"/>
    </row>
    <row r="430">
      <c r="A430" s="3" t="n"/>
      <c r="E430" s="6" t="n"/>
      <c r="F430" s="3" t="n"/>
      <c r="G430" s="3" t="n"/>
      <c r="H430" s="3" t="n"/>
    </row>
    <row r="431">
      <c r="A431" s="3" t="n"/>
      <c r="E431" s="6" t="n"/>
      <c r="F431" s="3" t="n"/>
      <c r="G431" s="3" t="n"/>
      <c r="H431" s="3" t="n"/>
    </row>
    <row r="432">
      <c r="A432" s="3" t="n"/>
      <c r="E432" s="6" t="n"/>
      <c r="F432" s="3" t="n"/>
      <c r="G432" s="3" t="n"/>
      <c r="H432" s="3" t="n"/>
    </row>
    <row r="433">
      <c r="A433" s="3" t="n"/>
      <c r="E433" s="6" t="n"/>
      <c r="F433" s="3" t="n"/>
      <c r="G433" s="3" t="n"/>
      <c r="H433" s="3" t="n"/>
    </row>
    <row r="434">
      <c r="A434" s="3" t="n"/>
      <c r="E434" s="6" t="n"/>
      <c r="F434" s="3" t="n"/>
      <c r="G434" s="3" t="n"/>
      <c r="H434" s="3" t="n"/>
    </row>
    <row r="435">
      <c r="A435" s="3" t="n"/>
      <c r="E435" s="6" t="n"/>
      <c r="F435" s="3" t="n"/>
      <c r="G435" s="3" t="n"/>
      <c r="H435" s="3" t="n"/>
    </row>
    <row r="436">
      <c r="A436" s="3" t="n"/>
      <c r="E436" s="6" t="n"/>
      <c r="F436" s="3" t="n"/>
      <c r="G436" s="3" t="n"/>
      <c r="H436" s="3" t="n"/>
    </row>
    <row r="437">
      <c r="A437" s="3" t="n"/>
      <c r="E437" s="6" t="n"/>
      <c r="F437" s="3" t="n"/>
      <c r="G437" s="3" t="n"/>
      <c r="H437" s="3" t="n"/>
    </row>
    <row r="438">
      <c r="A438" s="3" t="n"/>
      <c r="E438" s="6" t="n"/>
      <c r="F438" s="3" t="n"/>
      <c r="G438" s="3" t="n"/>
      <c r="H438" s="3" t="n"/>
    </row>
    <row r="439">
      <c r="A439" s="3" t="n"/>
      <c r="E439" s="6" t="n"/>
      <c r="F439" s="3" t="n"/>
      <c r="G439" s="3" t="n"/>
      <c r="H439" s="3" t="n"/>
    </row>
    <row r="440">
      <c r="A440" s="3" t="n"/>
      <c r="E440" s="6" t="n"/>
      <c r="F440" s="3" t="n"/>
      <c r="G440" s="3" t="n"/>
      <c r="H440" s="3" t="n"/>
    </row>
    <row r="441">
      <c r="A441" s="3" t="n"/>
      <c r="E441" s="6" t="n"/>
      <c r="F441" s="3" t="n"/>
      <c r="G441" s="3" t="n"/>
      <c r="H441" s="3" t="n"/>
    </row>
    <row r="442">
      <c r="A442" s="3" t="n"/>
      <c r="E442" s="6" t="n"/>
      <c r="F442" s="3" t="n"/>
      <c r="G442" s="3" t="n"/>
      <c r="H442" s="3" t="n"/>
    </row>
    <row r="443">
      <c r="A443" s="3" t="n"/>
      <c r="E443" s="6" t="n"/>
      <c r="F443" s="3" t="n"/>
      <c r="G443" s="3" t="n"/>
      <c r="H443" s="3" t="n"/>
    </row>
    <row r="444">
      <c r="A444" s="3" t="n"/>
      <c r="E444" s="6" t="n"/>
      <c r="F444" s="3" t="n"/>
      <c r="G444" s="3" t="n"/>
      <c r="H444" s="3" t="n"/>
    </row>
    <row r="445">
      <c r="A445" s="3" t="n"/>
      <c r="E445" s="6" t="n"/>
      <c r="F445" s="3" t="n"/>
      <c r="G445" s="3" t="n"/>
      <c r="H445" s="3" t="n"/>
    </row>
    <row r="446">
      <c r="A446" s="3" t="n"/>
      <c r="E446" s="6" t="n"/>
      <c r="F446" s="3" t="n"/>
      <c r="G446" s="3" t="n"/>
      <c r="H446" s="3" t="n"/>
    </row>
    <row r="447">
      <c r="A447" s="3" t="n"/>
      <c r="E447" s="6" t="n"/>
      <c r="F447" s="3" t="n"/>
      <c r="G447" s="3" t="n"/>
      <c r="H447" s="3" t="n"/>
    </row>
    <row r="448">
      <c r="A448" s="3" t="n"/>
      <c r="E448" s="6" t="n"/>
      <c r="F448" s="3" t="n"/>
      <c r="G448" s="3" t="n"/>
      <c r="H448" s="3" t="n"/>
    </row>
    <row r="449">
      <c r="A449" s="3" t="n"/>
      <c r="E449" s="6" t="n"/>
      <c r="F449" s="3" t="n"/>
      <c r="G449" s="3" t="n"/>
      <c r="H449" s="3" t="n"/>
    </row>
    <row r="450">
      <c r="A450" s="3" t="n"/>
      <c r="E450" s="6" t="n"/>
      <c r="F450" s="3" t="n"/>
      <c r="G450" s="3" t="n"/>
      <c r="H450" s="3" t="n"/>
    </row>
    <row r="451">
      <c r="A451" s="3" t="n"/>
      <c r="E451" s="6" t="n"/>
      <c r="F451" s="3" t="n"/>
      <c r="G451" s="3" t="n"/>
      <c r="H451" s="3" t="n"/>
    </row>
    <row r="452">
      <c r="A452" s="3" t="n"/>
      <c r="E452" s="6" t="n"/>
      <c r="F452" s="3" t="n"/>
      <c r="G452" s="3" t="n"/>
      <c r="H452" s="3" t="n"/>
    </row>
    <row r="453">
      <c r="A453" s="3" t="n"/>
      <c r="E453" s="6" t="n"/>
      <c r="F453" s="3" t="n"/>
      <c r="G453" s="3" t="n"/>
      <c r="H453" s="3" t="n"/>
    </row>
    <row r="454">
      <c r="A454" s="3" t="n"/>
      <c r="E454" s="6" t="n"/>
      <c r="F454" s="3" t="n"/>
      <c r="G454" s="3" t="n"/>
      <c r="H454" s="3" t="n"/>
    </row>
    <row r="455">
      <c r="A455" s="3" t="n"/>
      <c r="E455" s="6" t="n"/>
      <c r="F455" s="3" t="n"/>
      <c r="G455" s="3" t="n"/>
      <c r="H455" s="3" t="n"/>
    </row>
    <row r="456">
      <c r="A456" s="3" t="n"/>
      <c r="E456" s="6" t="n"/>
      <c r="F456" s="3" t="n"/>
      <c r="G456" s="3" t="n"/>
      <c r="H456" s="3" t="n"/>
    </row>
    <row r="457">
      <c r="A457" s="3" t="n"/>
      <c r="E457" s="6" t="n"/>
      <c r="F457" s="3" t="n"/>
      <c r="G457" s="3" t="n"/>
      <c r="H457" s="3" t="n"/>
    </row>
    <row r="458">
      <c r="A458" s="3" t="n"/>
      <c r="E458" s="6" t="n"/>
      <c r="F458" s="3" t="n"/>
      <c r="G458" s="3" t="n"/>
      <c r="H458" s="3" t="n"/>
    </row>
    <row r="459">
      <c r="A459" s="3" t="n"/>
      <c r="E459" s="6" t="n"/>
      <c r="F459" s="3" t="n"/>
      <c r="G459" s="3" t="n"/>
      <c r="H459" s="3" t="n"/>
    </row>
    <row r="460">
      <c r="A460" s="3" t="n"/>
      <c r="E460" s="6" t="n"/>
      <c r="F460" s="3" t="n"/>
      <c r="G460" s="3" t="n"/>
      <c r="H460" s="3" t="n"/>
    </row>
    <row r="461">
      <c r="A461" s="3" t="n"/>
      <c r="E461" s="6" t="n"/>
      <c r="F461" s="3" t="n"/>
      <c r="G461" s="3" t="n"/>
      <c r="H461" s="3" t="n"/>
    </row>
    <row r="462">
      <c r="A462" s="3" t="n"/>
      <c r="E462" s="6" t="n"/>
      <c r="F462" s="3" t="n"/>
      <c r="G462" s="3" t="n"/>
      <c r="H462" s="3" t="n"/>
    </row>
    <row r="463">
      <c r="A463" s="3" t="n"/>
      <c r="E463" s="6" t="n"/>
      <c r="F463" s="3" t="n"/>
      <c r="G463" s="3" t="n"/>
      <c r="H463" s="3" t="n"/>
    </row>
    <row r="464">
      <c r="A464" s="3" t="n"/>
      <c r="E464" s="6" t="n"/>
      <c r="F464" s="3" t="n"/>
      <c r="G464" s="3" t="n"/>
      <c r="H464" s="3" t="n"/>
    </row>
    <row r="465">
      <c r="A465" s="3" t="n"/>
      <c r="E465" s="6" t="n"/>
      <c r="F465" s="3" t="n"/>
      <c r="G465" s="3" t="n"/>
      <c r="H465" s="3" t="n"/>
    </row>
    <row r="466">
      <c r="A466" s="3" t="n"/>
      <c r="E466" s="6" t="n"/>
      <c r="F466" s="3" t="n"/>
      <c r="G466" s="3" t="n"/>
      <c r="H466" s="3" t="n"/>
    </row>
    <row r="467">
      <c r="A467" s="3" t="n"/>
      <c r="E467" s="6" t="n"/>
      <c r="F467" s="3" t="n"/>
      <c r="G467" s="3" t="n"/>
      <c r="H467" s="3" t="n"/>
    </row>
    <row r="468">
      <c r="A468" s="3" t="n"/>
      <c r="E468" s="6" t="n"/>
      <c r="F468" s="3" t="n"/>
      <c r="G468" s="3" t="n"/>
      <c r="H468" s="3" t="n"/>
    </row>
    <row r="469">
      <c r="A469" s="3" t="n"/>
      <c r="E469" s="6" t="n"/>
      <c r="F469" s="3" t="n"/>
      <c r="G469" s="3" t="n"/>
      <c r="H469" s="3" t="n"/>
    </row>
    <row r="470">
      <c r="A470" s="3" t="n"/>
      <c r="E470" s="6" t="n"/>
      <c r="F470" s="3" t="n"/>
      <c r="G470" s="3" t="n"/>
      <c r="H470" s="3" t="n"/>
    </row>
    <row r="471">
      <c r="A471" s="3" t="n"/>
      <c r="E471" s="6" t="n"/>
      <c r="F471" s="3" t="n"/>
      <c r="G471" s="3" t="n"/>
      <c r="H471" s="3" t="n"/>
    </row>
    <row r="472">
      <c r="A472" s="3" t="n"/>
      <c r="E472" s="6" t="n"/>
      <c r="F472" s="3" t="n"/>
      <c r="G472" s="3" t="n"/>
      <c r="H472" s="3" t="n"/>
    </row>
    <row r="473">
      <c r="A473" s="3" t="n"/>
      <c r="E473" s="6" t="n"/>
      <c r="F473" s="3" t="n"/>
      <c r="G473" s="3" t="n"/>
      <c r="H473" s="3" t="n"/>
    </row>
    <row r="474">
      <c r="A474" s="3" t="n"/>
      <c r="E474" s="6" t="n"/>
      <c r="F474" s="3" t="n"/>
      <c r="G474" s="3" t="n"/>
      <c r="H474" s="3" t="n"/>
    </row>
    <row r="475">
      <c r="A475" s="3" t="n"/>
      <c r="E475" s="6" t="n"/>
      <c r="F475" s="3" t="n"/>
      <c r="G475" s="3" t="n"/>
      <c r="H475" s="3" t="n"/>
    </row>
    <row r="476">
      <c r="A476" s="3" t="n"/>
      <c r="E476" s="6" t="n"/>
      <c r="F476" s="3" t="n"/>
      <c r="G476" s="3" t="n"/>
      <c r="H476" s="3" t="n"/>
    </row>
    <row r="477">
      <c r="A477" s="3" t="n"/>
      <c r="E477" s="6" t="n"/>
      <c r="F477" s="3" t="n"/>
      <c r="G477" s="3" t="n"/>
      <c r="H477" s="3" t="n"/>
    </row>
    <row r="478">
      <c r="A478" s="3" t="n"/>
      <c r="E478" s="6" t="n"/>
      <c r="F478" s="3" t="n"/>
      <c r="G478" s="3" t="n"/>
      <c r="H478" s="3" t="n"/>
    </row>
    <row r="479">
      <c r="A479" s="3" t="n"/>
      <c r="E479" s="6" t="n"/>
      <c r="F479" s="3" t="n"/>
      <c r="G479" s="3" t="n"/>
      <c r="H479" s="3" t="n"/>
    </row>
    <row r="480">
      <c r="A480" s="3" t="n"/>
      <c r="E480" s="6" t="n"/>
      <c r="F480" s="3" t="n"/>
      <c r="G480" s="3" t="n"/>
      <c r="H480" s="3" t="n"/>
    </row>
    <row r="481">
      <c r="A481" s="3" t="n"/>
      <c r="E481" s="6" t="n"/>
      <c r="F481" s="3" t="n"/>
      <c r="G481" s="3" t="n"/>
      <c r="H481" s="3" t="n"/>
    </row>
    <row r="482">
      <c r="A482" s="3" t="n"/>
      <c r="E482" s="6" t="n"/>
      <c r="F482" s="3" t="n"/>
      <c r="G482" s="3" t="n"/>
      <c r="H482" s="3" t="n"/>
    </row>
    <row r="483">
      <c r="A483" s="3" t="n"/>
      <c r="E483" s="6" t="n"/>
      <c r="F483" s="3" t="n"/>
      <c r="G483" s="3" t="n"/>
      <c r="H483" s="3" t="n"/>
    </row>
    <row r="484">
      <c r="A484" s="3" t="n"/>
      <c r="E484" s="6" t="n"/>
      <c r="F484" s="3" t="n"/>
      <c r="G484" s="3" t="n"/>
      <c r="H484" s="3" t="n"/>
    </row>
    <row r="485">
      <c r="A485" s="3" t="n"/>
      <c r="E485" s="6" t="n"/>
      <c r="F485" s="3" t="n"/>
      <c r="G485" s="3" t="n"/>
      <c r="H485" s="3" t="n"/>
    </row>
    <row r="486">
      <c r="A486" s="3" t="n"/>
      <c r="E486" s="6" t="n"/>
      <c r="F486" s="3" t="n"/>
      <c r="G486" s="3" t="n"/>
      <c r="H486" s="3" t="n"/>
    </row>
    <row r="487">
      <c r="A487" s="3" t="n"/>
      <c r="E487" s="6" t="n"/>
      <c r="F487" s="3" t="n"/>
      <c r="G487" s="3" t="n"/>
      <c r="H487" s="3" t="n"/>
    </row>
    <row r="488">
      <c r="A488" s="3" t="n"/>
      <c r="E488" s="6" t="n"/>
      <c r="F488" s="3" t="n"/>
      <c r="G488" s="3" t="n"/>
      <c r="H488" s="3" t="n"/>
    </row>
    <row r="489">
      <c r="A489" s="3" t="n"/>
      <c r="E489" s="6" t="n"/>
      <c r="F489" s="3" t="n"/>
      <c r="G489" s="3" t="n"/>
      <c r="H489" s="3" t="n"/>
    </row>
    <row r="490">
      <c r="A490" s="3" t="n"/>
      <c r="E490" s="6" t="n"/>
      <c r="F490" s="3" t="n"/>
      <c r="G490" s="3" t="n"/>
      <c r="H490" s="3" t="n"/>
    </row>
    <row r="491">
      <c r="A491" s="3" t="n"/>
      <c r="E491" s="6" t="n"/>
      <c r="F491" s="3" t="n"/>
      <c r="G491" s="3" t="n"/>
      <c r="H491" s="3" t="n"/>
    </row>
    <row r="492">
      <c r="A492" s="3" t="n"/>
      <c r="E492" s="6" t="n"/>
      <c r="F492" s="3" t="n"/>
      <c r="G492" s="3" t="n"/>
      <c r="H492" s="3" t="n"/>
    </row>
    <row r="493">
      <c r="A493" s="3" t="n"/>
      <c r="E493" s="6" t="n"/>
      <c r="F493" s="3" t="n"/>
      <c r="G493" s="3" t="n"/>
      <c r="H493" s="3" t="n"/>
    </row>
    <row r="494">
      <c r="A494" s="3" t="n"/>
      <c r="E494" s="6" t="n"/>
      <c r="F494" s="3" t="n"/>
      <c r="G494" s="3" t="n"/>
      <c r="H494" s="3" t="n"/>
    </row>
    <row r="495">
      <c r="A495" s="3" t="n"/>
      <c r="E495" s="6" t="n"/>
      <c r="F495" s="3" t="n"/>
      <c r="G495" s="3" t="n"/>
      <c r="H495" s="3" t="n"/>
    </row>
    <row r="496">
      <c r="A496" s="3" t="n"/>
      <c r="E496" s="6" t="n"/>
      <c r="F496" s="3" t="n"/>
      <c r="G496" s="3" t="n"/>
      <c r="H496" s="3" t="n"/>
    </row>
    <row r="497">
      <c r="A497" s="3" t="n"/>
      <c r="E497" s="6" t="n"/>
      <c r="F497" s="3" t="n"/>
      <c r="G497" s="3" t="n"/>
      <c r="H497" s="3" t="n"/>
    </row>
    <row r="498">
      <c r="A498" s="3" t="n"/>
      <c r="E498" s="6" t="n"/>
      <c r="F498" s="3" t="n"/>
      <c r="G498" s="3" t="n"/>
      <c r="H498" s="3" t="n"/>
    </row>
    <row r="499">
      <c r="A499" s="3" t="n"/>
      <c r="E499" s="6" t="n"/>
      <c r="F499" s="3" t="n"/>
      <c r="G499" s="3" t="n"/>
      <c r="H499" s="3" t="n"/>
    </row>
    <row r="500">
      <c r="A500" s="3" t="n"/>
      <c r="E500" s="6" t="n"/>
      <c r="F500" s="3" t="n"/>
      <c r="G500" s="3" t="n"/>
      <c r="H500" s="3" t="n"/>
    </row>
    <row r="501">
      <c r="A501" s="3" t="n"/>
      <c r="E501" s="6" t="n"/>
      <c r="F501" s="3" t="n"/>
      <c r="G501" s="3" t="n"/>
      <c r="H501" s="3" t="n"/>
    </row>
  </sheetData>
  <autoFilter ref="A1:I501"/>
  <conditionalFormatting sqref="A2:A501">
    <cfRule type="expression" priority="1" dxfId="0">
      <formula>AND($A2&lt;&gt;"",COUNTIF($A$2:$A$501,$A2)&gt;1)</formula>
    </cfRule>
  </conditionalFormatting>
  <dataValidations count="1">
    <dataValidation sqref="I2:I501" showDropDown="0" showInputMessage="0" showErrorMessage="1" allowBlank="1" errorTitle="입력 오류" error="목록에 있는 값만 선택할 수 있습니다." type="list">
      <formula1>"사용,중지"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12" customWidth="1" min="4" max="4"/>
    <col width="20" customWidth="1" min="5" max="5"/>
    <col width="12" customWidth="1" min="6" max="6"/>
    <col width="10" customWidth="1" min="7" max="7"/>
  </cols>
  <sheetData>
    <row r="1" ht="24" customHeight="1">
      <c r="A1" s="1" t="inlineStr">
        <is>
          <t>채널코드</t>
        </is>
      </c>
      <c r="B1" s="1" t="inlineStr">
        <is>
          <t>채널명</t>
        </is>
      </c>
      <c r="C1" s="1" t="inlineStr">
        <is>
          <t>사방넷연동</t>
        </is>
      </c>
      <c r="D1" s="1" t="inlineStr">
        <is>
          <t>송신권한</t>
        </is>
      </c>
      <c r="E1" s="1" t="inlineStr">
        <is>
          <t>쇼핑몰ID</t>
        </is>
      </c>
      <c r="F1" s="1" t="inlineStr">
        <is>
          <t>수수료율</t>
        </is>
      </c>
      <c r="G1" s="1" t="inlineStr">
        <is>
          <t>상태</t>
        </is>
      </c>
    </row>
    <row r="2">
      <c r="A2" s="3" t="inlineStr">
        <is>
          <t>CPG</t>
        </is>
      </c>
      <c r="B2" t="inlineStr">
        <is>
          <t>쿠팡</t>
        </is>
      </c>
      <c r="C2" t="inlineStr">
        <is>
          <t>Y</t>
        </is>
      </c>
      <c r="D2" t="inlineStr">
        <is>
          <t>N</t>
        </is>
      </c>
      <c r="E2" s="3" t="n"/>
      <c r="F2" s="7" t="n"/>
      <c r="G2" t="inlineStr">
        <is>
          <t>사용</t>
        </is>
      </c>
    </row>
    <row r="3">
      <c r="A3" s="3" t="inlineStr">
        <is>
          <t>SST</t>
        </is>
      </c>
      <c r="B3" t="inlineStr">
        <is>
          <t>스마트스토어</t>
        </is>
      </c>
      <c r="C3" t="inlineStr">
        <is>
          <t>Y</t>
        </is>
      </c>
      <c r="D3" t="inlineStr">
        <is>
          <t>N</t>
        </is>
      </c>
      <c r="E3" s="3" t="n"/>
      <c r="F3" s="7" t="n"/>
      <c r="G3" t="inlineStr">
        <is>
          <t>사용</t>
        </is>
      </c>
    </row>
    <row r="4">
      <c r="A4" s="3" t="inlineStr">
        <is>
          <t>SHOPL</t>
        </is>
      </c>
      <c r="B4" t="inlineStr">
        <is>
          <t>슈플</t>
        </is>
      </c>
      <c r="C4" t="inlineStr">
        <is>
          <t>N</t>
        </is>
      </c>
      <c r="D4" t="inlineStr">
        <is>
          <t>N</t>
        </is>
      </c>
      <c r="E4" s="3" t="n"/>
      <c r="F4" s="7" t="n"/>
      <c r="G4" t="inlineStr">
        <is>
          <t>사용</t>
        </is>
      </c>
    </row>
    <row r="5">
      <c r="A5" s="3" t="n"/>
      <c r="E5" s="3" t="n"/>
      <c r="F5" s="7" t="n"/>
    </row>
    <row r="6">
      <c r="A6" s="3" t="n"/>
      <c r="E6" s="3" t="n"/>
      <c r="F6" s="7" t="n"/>
    </row>
    <row r="7">
      <c r="A7" s="3" t="n"/>
      <c r="E7" s="3" t="n"/>
      <c r="F7" s="7" t="n"/>
    </row>
    <row r="8">
      <c r="A8" s="3" t="n"/>
      <c r="E8" s="3" t="n"/>
      <c r="F8" s="7" t="n"/>
    </row>
    <row r="9">
      <c r="A9" s="3" t="n"/>
      <c r="E9" s="3" t="n"/>
      <c r="F9" s="7" t="n"/>
    </row>
    <row r="10">
      <c r="A10" s="3" t="n"/>
      <c r="E10" s="3" t="n"/>
      <c r="F10" s="7" t="n"/>
    </row>
    <row r="11">
      <c r="A11" s="3" t="n"/>
      <c r="E11" s="3" t="n"/>
      <c r="F11" s="7" t="n"/>
    </row>
    <row r="12">
      <c r="A12" s="3" t="n"/>
      <c r="E12" s="3" t="n"/>
      <c r="F12" s="7" t="n"/>
    </row>
    <row r="13">
      <c r="A13" s="3" t="n"/>
      <c r="E13" s="3" t="n"/>
      <c r="F13" s="7" t="n"/>
    </row>
    <row r="14">
      <c r="A14" s="3" t="n"/>
      <c r="E14" s="3" t="n"/>
      <c r="F14" s="7" t="n"/>
    </row>
    <row r="15">
      <c r="A15" s="3" t="n"/>
      <c r="E15" s="3" t="n"/>
      <c r="F15" s="7" t="n"/>
    </row>
    <row r="16">
      <c r="A16" s="3" t="n"/>
      <c r="E16" s="3" t="n"/>
      <c r="F16" s="7" t="n"/>
    </row>
    <row r="17">
      <c r="A17" s="3" t="n"/>
      <c r="E17" s="3" t="n"/>
      <c r="F17" s="7" t="n"/>
    </row>
    <row r="18">
      <c r="A18" s="3" t="n"/>
      <c r="E18" s="3" t="n"/>
      <c r="F18" s="7" t="n"/>
    </row>
    <row r="19">
      <c r="A19" s="3" t="n"/>
      <c r="E19" s="3" t="n"/>
      <c r="F19" s="7" t="n"/>
    </row>
    <row r="20">
      <c r="A20" s="3" t="n"/>
      <c r="E20" s="3" t="n"/>
      <c r="F20" s="7" t="n"/>
    </row>
    <row r="21">
      <c r="A21" s="3" t="n"/>
      <c r="E21" s="3" t="n"/>
      <c r="F21" s="7" t="n"/>
    </row>
    <row r="22">
      <c r="A22" s="3" t="n"/>
      <c r="E22" s="3" t="n"/>
      <c r="F22" s="7" t="n"/>
    </row>
    <row r="23">
      <c r="A23" s="3" t="n"/>
      <c r="E23" s="3" t="n"/>
      <c r="F23" s="7" t="n"/>
    </row>
    <row r="24">
      <c r="A24" s="3" t="n"/>
      <c r="E24" s="3" t="n"/>
      <c r="F24" s="7" t="n"/>
    </row>
    <row r="25">
      <c r="A25" s="3" t="n"/>
      <c r="E25" s="3" t="n"/>
      <c r="F25" s="7" t="n"/>
    </row>
    <row r="26">
      <c r="A26" s="3" t="n"/>
      <c r="E26" s="3" t="n"/>
      <c r="F26" s="7" t="n"/>
    </row>
    <row r="27">
      <c r="A27" s="3" t="n"/>
      <c r="E27" s="3" t="n"/>
      <c r="F27" s="7" t="n"/>
    </row>
    <row r="28">
      <c r="A28" s="3" t="n"/>
      <c r="E28" s="3" t="n"/>
      <c r="F28" s="7" t="n"/>
    </row>
    <row r="29">
      <c r="A29" s="3" t="n"/>
      <c r="E29" s="3" t="n"/>
      <c r="F29" s="7" t="n"/>
    </row>
    <row r="30">
      <c r="A30" s="3" t="n"/>
      <c r="E30" s="3" t="n"/>
      <c r="F30" s="7" t="n"/>
    </row>
    <row r="31">
      <c r="A31" s="3" t="n"/>
      <c r="E31" s="3" t="n"/>
      <c r="F31" s="7" t="n"/>
    </row>
    <row r="32">
      <c r="A32" s="3" t="n"/>
      <c r="E32" s="3" t="n"/>
      <c r="F32" s="7" t="n"/>
    </row>
    <row r="33">
      <c r="A33" s="3" t="n"/>
      <c r="E33" s="3" t="n"/>
      <c r="F33" s="7" t="n"/>
    </row>
    <row r="34">
      <c r="A34" s="3" t="n"/>
      <c r="E34" s="3" t="n"/>
      <c r="F34" s="7" t="n"/>
    </row>
    <row r="35">
      <c r="A35" s="3" t="n"/>
      <c r="E35" s="3" t="n"/>
      <c r="F35" s="7" t="n"/>
    </row>
    <row r="36">
      <c r="A36" s="3" t="n"/>
      <c r="E36" s="3" t="n"/>
      <c r="F36" s="7" t="n"/>
    </row>
    <row r="37">
      <c r="A37" s="3" t="n"/>
      <c r="E37" s="3" t="n"/>
      <c r="F37" s="7" t="n"/>
    </row>
    <row r="38">
      <c r="A38" s="3" t="n"/>
      <c r="E38" s="3" t="n"/>
      <c r="F38" s="7" t="n"/>
    </row>
    <row r="39">
      <c r="A39" s="3" t="n"/>
      <c r="E39" s="3" t="n"/>
      <c r="F39" s="7" t="n"/>
    </row>
    <row r="40">
      <c r="A40" s="3" t="n"/>
      <c r="E40" s="3" t="n"/>
      <c r="F40" s="7" t="n"/>
    </row>
    <row r="41">
      <c r="A41" s="3" t="n"/>
      <c r="E41" s="3" t="n"/>
      <c r="F41" s="7" t="n"/>
    </row>
    <row r="42">
      <c r="A42" s="3" t="n"/>
      <c r="E42" s="3" t="n"/>
      <c r="F42" s="7" t="n"/>
    </row>
    <row r="43">
      <c r="A43" s="3" t="n"/>
      <c r="E43" s="3" t="n"/>
      <c r="F43" s="7" t="n"/>
    </row>
    <row r="44">
      <c r="A44" s="3" t="n"/>
      <c r="E44" s="3" t="n"/>
      <c r="F44" s="7" t="n"/>
    </row>
    <row r="45">
      <c r="A45" s="3" t="n"/>
      <c r="E45" s="3" t="n"/>
      <c r="F45" s="7" t="n"/>
    </row>
    <row r="46">
      <c r="A46" s="3" t="n"/>
      <c r="E46" s="3" t="n"/>
      <c r="F46" s="7" t="n"/>
    </row>
    <row r="47">
      <c r="A47" s="3" t="n"/>
      <c r="E47" s="3" t="n"/>
      <c r="F47" s="7" t="n"/>
    </row>
    <row r="48">
      <c r="A48" s="3" t="n"/>
      <c r="E48" s="3" t="n"/>
      <c r="F48" s="7" t="n"/>
    </row>
    <row r="49">
      <c r="A49" s="3" t="n"/>
      <c r="E49" s="3" t="n"/>
      <c r="F49" s="7" t="n"/>
    </row>
    <row r="50">
      <c r="A50" s="3" t="n"/>
      <c r="E50" s="3" t="n"/>
      <c r="F50" s="7" t="n"/>
    </row>
    <row r="51">
      <c r="A51" s="3" t="n"/>
      <c r="E51" s="3" t="n"/>
      <c r="F51" s="7" t="n"/>
    </row>
    <row r="52">
      <c r="A52" s="3" t="n"/>
      <c r="E52" s="3" t="n"/>
      <c r="F52" s="7" t="n"/>
    </row>
    <row r="53">
      <c r="A53" s="3" t="n"/>
      <c r="E53" s="3" t="n"/>
      <c r="F53" s="7" t="n"/>
    </row>
    <row r="54">
      <c r="A54" s="3" t="n"/>
      <c r="E54" s="3" t="n"/>
      <c r="F54" s="7" t="n"/>
    </row>
    <row r="55">
      <c r="A55" s="3" t="n"/>
      <c r="E55" s="3" t="n"/>
      <c r="F55" s="7" t="n"/>
    </row>
    <row r="56">
      <c r="A56" s="3" t="n"/>
      <c r="E56" s="3" t="n"/>
      <c r="F56" s="7" t="n"/>
    </row>
    <row r="57">
      <c r="A57" s="3" t="n"/>
      <c r="E57" s="3" t="n"/>
      <c r="F57" s="7" t="n"/>
    </row>
    <row r="58">
      <c r="A58" s="3" t="n"/>
      <c r="E58" s="3" t="n"/>
      <c r="F58" s="7" t="n"/>
    </row>
    <row r="59">
      <c r="A59" s="3" t="n"/>
      <c r="E59" s="3" t="n"/>
      <c r="F59" s="7" t="n"/>
    </row>
    <row r="60">
      <c r="A60" s="3" t="n"/>
      <c r="E60" s="3" t="n"/>
      <c r="F60" s="7" t="n"/>
    </row>
    <row r="61">
      <c r="A61" s="3" t="n"/>
      <c r="E61" s="3" t="n"/>
      <c r="F61" s="7" t="n"/>
    </row>
    <row r="62">
      <c r="A62" s="3" t="n"/>
      <c r="E62" s="3" t="n"/>
      <c r="F62" s="7" t="n"/>
    </row>
    <row r="63">
      <c r="A63" s="3" t="n"/>
      <c r="E63" s="3" t="n"/>
      <c r="F63" s="7" t="n"/>
    </row>
    <row r="64">
      <c r="A64" s="3" t="n"/>
      <c r="E64" s="3" t="n"/>
      <c r="F64" s="7" t="n"/>
    </row>
    <row r="65">
      <c r="A65" s="3" t="n"/>
      <c r="E65" s="3" t="n"/>
      <c r="F65" s="7" t="n"/>
    </row>
    <row r="66">
      <c r="A66" s="3" t="n"/>
      <c r="E66" s="3" t="n"/>
      <c r="F66" s="7" t="n"/>
    </row>
    <row r="67">
      <c r="A67" s="3" t="n"/>
      <c r="E67" s="3" t="n"/>
      <c r="F67" s="7" t="n"/>
    </row>
    <row r="68">
      <c r="A68" s="3" t="n"/>
      <c r="E68" s="3" t="n"/>
      <c r="F68" s="7" t="n"/>
    </row>
    <row r="69">
      <c r="A69" s="3" t="n"/>
      <c r="E69" s="3" t="n"/>
      <c r="F69" s="7" t="n"/>
    </row>
    <row r="70">
      <c r="A70" s="3" t="n"/>
      <c r="E70" s="3" t="n"/>
      <c r="F70" s="7" t="n"/>
    </row>
    <row r="71">
      <c r="A71" s="3" t="n"/>
      <c r="E71" s="3" t="n"/>
      <c r="F71" s="7" t="n"/>
    </row>
    <row r="72">
      <c r="A72" s="3" t="n"/>
      <c r="E72" s="3" t="n"/>
      <c r="F72" s="7" t="n"/>
    </row>
    <row r="73">
      <c r="A73" s="3" t="n"/>
      <c r="E73" s="3" t="n"/>
      <c r="F73" s="7" t="n"/>
    </row>
    <row r="74">
      <c r="A74" s="3" t="n"/>
      <c r="E74" s="3" t="n"/>
      <c r="F74" s="7" t="n"/>
    </row>
    <row r="75">
      <c r="A75" s="3" t="n"/>
      <c r="E75" s="3" t="n"/>
      <c r="F75" s="7" t="n"/>
    </row>
    <row r="76">
      <c r="A76" s="3" t="n"/>
      <c r="E76" s="3" t="n"/>
      <c r="F76" s="7" t="n"/>
    </row>
    <row r="77">
      <c r="A77" s="3" t="n"/>
      <c r="E77" s="3" t="n"/>
      <c r="F77" s="7" t="n"/>
    </row>
    <row r="78">
      <c r="A78" s="3" t="n"/>
      <c r="E78" s="3" t="n"/>
      <c r="F78" s="7" t="n"/>
    </row>
    <row r="79">
      <c r="A79" s="3" t="n"/>
      <c r="E79" s="3" t="n"/>
      <c r="F79" s="7" t="n"/>
    </row>
    <row r="80">
      <c r="A80" s="3" t="n"/>
      <c r="E80" s="3" t="n"/>
      <c r="F80" s="7" t="n"/>
    </row>
    <row r="81">
      <c r="A81" s="3" t="n"/>
      <c r="E81" s="3" t="n"/>
      <c r="F81" s="7" t="n"/>
    </row>
    <row r="82">
      <c r="A82" s="3" t="n"/>
      <c r="E82" s="3" t="n"/>
      <c r="F82" s="7" t="n"/>
    </row>
    <row r="83">
      <c r="A83" s="3" t="n"/>
      <c r="E83" s="3" t="n"/>
      <c r="F83" s="7" t="n"/>
    </row>
    <row r="84">
      <c r="A84" s="3" t="n"/>
      <c r="E84" s="3" t="n"/>
      <c r="F84" s="7" t="n"/>
    </row>
    <row r="85">
      <c r="A85" s="3" t="n"/>
      <c r="E85" s="3" t="n"/>
      <c r="F85" s="7" t="n"/>
    </row>
    <row r="86">
      <c r="A86" s="3" t="n"/>
      <c r="E86" s="3" t="n"/>
      <c r="F86" s="7" t="n"/>
    </row>
    <row r="87">
      <c r="A87" s="3" t="n"/>
      <c r="E87" s="3" t="n"/>
      <c r="F87" s="7" t="n"/>
    </row>
    <row r="88">
      <c r="A88" s="3" t="n"/>
      <c r="E88" s="3" t="n"/>
      <c r="F88" s="7" t="n"/>
    </row>
    <row r="89">
      <c r="A89" s="3" t="n"/>
      <c r="E89" s="3" t="n"/>
      <c r="F89" s="7" t="n"/>
    </row>
    <row r="90">
      <c r="A90" s="3" t="n"/>
      <c r="E90" s="3" t="n"/>
      <c r="F90" s="7" t="n"/>
    </row>
    <row r="91">
      <c r="A91" s="3" t="n"/>
      <c r="E91" s="3" t="n"/>
      <c r="F91" s="7" t="n"/>
    </row>
    <row r="92">
      <c r="A92" s="3" t="n"/>
      <c r="E92" s="3" t="n"/>
      <c r="F92" s="7" t="n"/>
    </row>
    <row r="93">
      <c r="A93" s="3" t="n"/>
      <c r="E93" s="3" t="n"/>
      <c r="F93" s="7" t="n"/>
    </row>
    <row r="94">
      <c r="A94" s="3" t="n"/>
      <c r="E94" s="3" t="n"/>
      <c r="F94" s="7" t="n"/>
    </row>
    <row r="95">
      <c r="A95" s="3" t="n"/>
      <c r="E95" s="3" t="n"/>
      <c r="F95" s="7" t="n"/>
    </row>
    <row r="96">
      <c r="A96" s="3" t="n"/>
      <c r="E96" s="3" t="n"/>
      <c r="F96" s="7" t="n"/>
    </row>
    <row r="97">
      <c r="A97" s="3" t="n"/>
      <c r="E97" s="3" t="n"/>
      <c r="F97" s="7" t="n"/>
    </row>
    <row r="98">
      <c r="A98" s="3" t="n"/>
      <c r="E98" s="3" t="n"/>
      <c r="F98" s="7" t="n"/>
    </row>
    <row r="99">
      <c r="A99" s="3" t="n"/>
      <c r="E99" s="3" t="n"/>
      <c r="F99" s="7" t="n"/>
    </row>
    <row r="100">
      <c r="A100" s="3" t="n"/>
      <c r="E100" s="3" t="n"/>
      <c r="F100" s="7" t="n"/>
    </row>
    <row r="101">
      <c r="A101" s="3" t="n"/>
      <c r="E101" s="3" t="n"/>
      <c r="F101" s="7" t="n"/>
    </row>
    <row r="102">
      <c r="A102" s="3" t="n"/>
      <c r="E102" s="3" t="n"/>
      <c r="F102" s="7" t="n"/>
    </row>
    <row r="103">
      <c r="A103" s="3" t="n"/>
      <c r="E103" s="3" t="n"/>
      <c r="F103" s="7" t="n"/>
    </row>
    <row r="104">
      <c r="A104" s="3" t="n"/>
      <c r="E104" s="3" t="n"/>
      <c r="F104" s="7" t="n"/>
    </row>
    <row r="105">
      <c r="A105" s="3" t="n"/>
      <c r="E105" s="3" t="n"/>
      <c r="F105" s="7" t="n"/>
    </row>
    <row r="106">
      <c r="A106" s="3" t="n"/>
      <c r="E106" s="3" t="n"/>
      <c r="F106" s="7" t="n"/>
    </row>
    <row r="107">
      <c r="A107" s="3" t="n"/>
      <c r="E107" s="3" t="n"/>
      <c r="F107" s="7" t="n"/>
    </row>
    <row r="108">
      <c r="A108" s="3" t="n"/>
      <c r="E108" s="3" t="n"/>
      <c r="F108" s="7" t="n"/>
    </row>
    <row r="109">
      <c r="A109" s="3" t="n"/>
      <c r="E109" s="3" t="n"/>
      <c r="F109" s="7" t="n"/>
    </row>
    <row r="110">
      <c r="A110" s="3" t="n"/>
      <c r="E110" s="3" t="n"/>
      <c r="F110" s="7" t="n"/>
    </row>
    <row r="111">
      <c r="A111" s="3" t="n"/>
      <c r="E111" s="3" t="n"/>
      <c r="F111" s="7" t="n"/>
    </row>
    <row r="112">
      <c r="A112" s="3" t="n"/>
      <c r="E112" s="3" t="n"/>
      <c r="F112" s="7" t="n"/>
    </row>
    <row r="113">
      <c r="A113" s="3" t="n"/>
      <c r="E113" s="3" t="n"/>
      <c r="F113" s="7" t="n"/>
    </row>
    <row r="114">
      <c r="A114" s="3" t="n"/>
      <c r="E114" s="3" t="n"/>
      <c r="F114" s="7" t="n"/>
    </row>
    <row r="115">
      <c r="A115" s="3" t="n"/>
      <c r="E115" s="3" t="n"/>
      <c r="F115" s="7" t="n"/>
    </row>
    <row r="116">
      <c r="A116" s="3" t="n"/>
      <c r="E116" s="3" t="n"/>
      <c r="F116" s="7" t="n"/>
    </row>
    <row r="117">
      <c r="A117" s="3" t="n"/>
      <c r="E117" s="3" t="n"/>
      <c r="F117" s="7" t="n"/>
    </row>
    <row r="118">
      <c r="A118" s="3" t="n"/>
      <c r="E118" s="3" t="n"/>
      <c r="F118" s="7" t="n"/>
    </row>
    <row r="119">
      <c r="A119" s="3" t="n"/>
      <c r="E119" s="3" t="n"/>
      <c r="F119" s="7" t="n"/>
    </row>
    <row r="120">
      <c r="A120" s="3" t="n"/>
      <c r="E120" s="3" t="n"/>
      <c r="F120" s="7" t="n"/>
    </row>
    <row r="121">
      <c r="A121" s="3" t="n"/>
      <c r="E121" s="3" t="n"/>
      <c r="F121" s="7" t="n"/>
    </row>
    <row r="122">
      <c r="A122" s="3" t="n"/>
      <c r="E122" s="3" t="n"/>
      <c r="F122" s="7" t="n"/>
    </row>
    <row r="123">
      <c r="A123" s="3" t="n"/>
      <c r="E123" s="3" t="n"/>
      <c r="F123" s="7" t="n"/>
    </row>
    <row r="124">
      <c r="A124" s="3" t="n"/>
      <c r="E124" s="3" t="n"/>
      <c r="F124" s="7" t="n"/>
    </row>
    <row r="125">
      <c r="A125" s="3" t="n"/>
      <c r="E125" s="3" t="n"/>
      <c r="F125" s="7" t="n"/>
    </row>
    <row r="126">
      <c r="A126" s="3" t="n"/>
      <c r="E126" s="3" t="n"/>
      <c r="F126" s="7" t="n"/>
    </row>
    <row r="127">
      <c r="A127" s="3" t="n"/>
      <c r="E127" s="3" t="n"/>
      <c r="F127" s="7" t="n"/>
    </row>
    <row r="128">
      <c r="A128" s="3" t="n"/>
      <c r="E128" s="3" t="n"/>
      <c r="F128" s="7" t="n"/>
    </row>
    <row r="129">
      <c r="A129" s="3" t="n"/>
      <c r="E129" s="3" t="n"/>
      <c r="F129" s="7" t="n"/>
    </row>
    <row r="130">
      <c r="A130" s="3" t="n"/>
      <c r="E130" s="3" t="n"/>
      <c r="F130" s="7" t="n"/>
    </row>
    <row r="131">
      <c r="A131" s="3" t="n"/>
      <c r="E131" s="3" t="n"/>
      <c r="F131" s="7" t="n"/>
    </row>
    <row r="132">
      <c r="A132" s="3" t="n"/>
      <c r="E132" s="3" t="n"/>
      <c r="F132" s="7" t="n"/>
    </row>
    <row r="133">
      <c r="A133" s="3" t="n"/>
      <c r="E133" s="3" t="n"/>
      <c r="F133" s="7" t="n"/>
    </row>
    <row r="134">
      <c r="A134" s="3" t="n"/>
      <c r="E134" s="3" t="n"/>
      <c r="F134" s="7" t="n"/>
    </row>
    <row r="135">
      <c r="A135" s="3" t="n"/>
      <c r="E135" s="3" t="n"/>
      <c r="F135" s="7" t="n"/>
    </row>
    <row r="136">
      <c r="A136" s="3" t="n"/>
      <c r="E136" s="3" t="n"/>
      <c r="F136" s="7" t="n"/>
    </row>
    <row r="137">
      <c r="A137" s="3" t="n"/>
      <c r="E137" s="3" t="n"/>
      <c r="F137" s="7" t="n"/>
    </row>
    <row r="138">
      <c r="A138" s="3" t="n"/>
      <c r="E138" s="3" t="n"/>
      <c r="F138" s="7" t="n"/>
    </row>
    <row r="139">
      <c r="A139" s="3" t="n"/>
      <c r="E139" s="3" t="n"/>
      <c r="F139" s="7" t="n"/>
    </row>
    <row r="140">
      <c r="A140" s="3" t="n"/>
      <c r="E140" s="3" t="n"/>
      <c r="F140" s="7" t="n"/>
    </row>
    <row r="141">
      <c r="A141" s="3" t="n"/>
      <c r="E141" s="3" t="n"/>
      <c r="F141" s="7" t="n"/>
    </row>
    <row r="142">
      <c r="A142" s="3" t="n"/>
      <c r="E142" s="3" t="n"/>
      <c r="F142" s="7" t="n"/>
    </row>
    <row r="143">
      <c r="A143" s="3" t="n"/>
      <c r="E143" s="3" t="n"/>
      <c r="F143" s="7" t="n"/>
    </row>
    <row r="144">
      <c r="A144" s="3" t="n"/>
      <c r="E144" s="3" t="n"/>
      <c r="F144" s="7" t="n"/>
    </row>
    <row r="145">
      <c r="A145" s="3" t="n"/>
      <c r="E145" s="3" t="n"/>
      <c r="F145" s="7" t="n"/>
    </row>
    <row r="146">
      <c r="A146" s="3" t="n"/>
      <c r="E146" s="3" t="n"/>
      <c r="F146" s="7" t="n"/>
    </row>
    <row r="147">
      <c r="A147" s="3" t="n"/>
      <c r="E147" s="3" t="n"/>
      <c r="F147" s="7" t="n"/>
    </row>
    <row r="148">
      <c r="A148" s="3" t="n"/>
      <c r="E148" s="3" t="n"/>
      <c r="F148" s="7" t="n"/>
    </row>
    <row r="149">
      <c r="A149" s="3" t="n"/>
      <c r="E149" s="3" t="n"/>
      <c r="F149" s="7" t="n"/>
    </row>
    <row r="150">
      <c r="A150" s="3" t="n"/>
      <c r="E150" s="3" t="n"/>
      <c r="F150" s="7" t="n"/>
    </row>
    <row r="151">
      <c r="A151" s="3" t="n"/>
      <c r="E151" s="3" t="n"/>
      <c r="F151" s="7" t="n"/>
    </row>
    <row r="152">
      <c r="A152" s="3" t="n"/>
      <c r="E152" s="3" t="n"/>
      <c r="F152" s="7" t="n"/>
    </row>
    <row r="153">
      <c r="A153" s="3" t="n"/>
      <c r="E153" s="3" t="n"/>
      <c r="F153" s="7" t="n"/>
    </row>
    <row r="154">
      <c r="A154" s="3" t="n"/>
      <c r="E154" s="3" t="n"/>
      <c r="F154" s="7" t="n"/>
    </row>
    <row r="155">
      <c r="A155" s="3" t="n"/>
      <c r="E155" s="3" t="n"/>
      <c r="F155" s="7" t="n"/>
    </row>
    <row r="156">
      <c r="A156" s="3" t="n"/>
      <c r="E156" s="3" t="n"/>
      <c r="F156" s="7" t="n"/>
    </row>
    <row r="157">
      <c r="A157" s="3" t="n"/>
      <c r="E157" s="3" t="n"/>
      <c r="F157" s="7" t="n"/>
    </row>
    <row r="158">
      <c r="A158" s="3" t="n"/>
      <c r="E158" s="3" t="n"/>
      <c r="F158" s="7" t="n"/>
    </row>
    <row r="159">
      <c r="A159" s="3" t="n"/>
      <c r="E159" s="3" t="n"/>
      <c r="F159" s="7" t="n"/>
    </row>
    <row r="160">
      <c r="A160" s="3" t="n"/>
      <c r="E160" s="3" t="n"/>
      <c r="F160" s="7" t="n"/>
    </row>
    <row r="161">
      <c r="A161" s="3" t="n"/>
      <c r="E161" s="3" t="n"/>
      <c r="F161" s="7" t="n"/>
    </row>
    <row r="162">
      <c r="A162" s="3" t="n"/>
      <c r="E162" s="3" t="n"/>
      <c r="F162" s="7" t="n"/>
    </row>
    <row r="163">
      <c r="A163" s="3" t="n"/>
      <c r="E163" s="3" t="n"/>
      <c r="F163" s="7" t="n"/>
    </row>
    <row r="164">
      <c r="A164" s="3" t="n"/>
      <c r="E164" s="3" t="n"/>
      <c r="F164" s="7" t="n"/>
    </row>
    <row r="165">
      <c r="A165" s="3" t="n"/>
      <c r="E165" s="3" t="n"/>
      <c r="F165" s="7" t="n"/>
    </row>
    <row r="166">
      <c r="A166" s="3" t="n"/>
      <c r="E166" s="3" t="n"/>
      <c r="F166" s="7" t="n"/>
    </row>
    <row r="167">
      <c r="A167" s="3" t="n"/>
      <c r="E167" s="3" t="n"/>
      <c r="F167" s="7" t="n"/>
    </row>
    <row r="168">
      <c r="A168" s="3" t="n"/>
      <c r="E168" s="3" t="n"/>
      <c r="F168" s="7" t="n"/>
    </row>
    <row r="169">
      <c r="A169" s="3" t="n"/>
      <c r="E169" s="3" t="n"/>
      <c r="F169" s="7" t="n"/>
    </row>
    <row r="170">
      <c r="A170" s="3" t="n"/>
      <c r="E170" s="3" t="n"/>
      <c r="F170" s="7" t="n"/>
    </row>
    <row r="171">
      <c r="A171" s="3" t="n"/>
      <c r="E171" s="3" t="n"/>
      <c r="F171" s="7" t="n"/>
    </row>
    <row r="172">
      <c r="A172" s="3" t="n"/>
      <c r="E172" s="3" t="n"/>
      <c r="F172" s="7" t="n"/>
    </row>
    <row r="173">
      <c r="A173" s="3" t="n"/>
      <c r="E173" s="3" t="n"/>
      <c r="F173" s="7" t="n"/>
    </row>
    <row r="174">
      <c r="A174" s="3" t="n"/>
      <c r="E174" s="3" t="n"/>
      <c r="F174" s="7" t="n"/>
    </row>
    <row r="175">
      <c r="A175" s="3" t="n"/>
      <c r="E175" s="3" t="n"/>
      <c r="F175" s="7" t="n"/>
    </row>
    <row r="176">
      <c r="A176" s="3" t="n"/>
      <c r="E176" s="3" t="n"/>
      <c r="F176" s="7" t="n"/>
    </row>
    <row r="177">
      <c r="A177" s="3" t="n"/>
      <c r="E177" s="3" t="n"/>
      <c r="F177" s="7" t="n"/>
    </row>
    <row r="178">
      <c r="A178" s="3" t="n"/>
      <c r="E178" s="3" t="n"/>
      <c r="F178" s="7" t="n"/>
    </row>
    <row r="179">
      <c r="A179" s="3" t="n"/>
      <c r="E179" s="3" t="n"/>
      <c r="F179" s="7" t="n"/>
    </row>
    <row r="180">
      <c r="A180" s="3" t="n"/>
      <c r="E180" s="3" t="n"/>
      <c r="F180" s="7" t="n"/>
    </row>
    <row r="181">
      <c r="A181" s="3" t="n"/>
      <c r="E181" s="3" t="n"/>
      <c r="F181" s="7" t="n"/>
    </row>
    <row r="182">
      <c r="A182" s="3" t="n"/>
      <c r="E182" s="3" t="n"/>
      <c r="F182" s="7" t="n"/>
    </row>
    <row r="183">
      <c r="A183" s="3" t="n"/>
      <c r="E183" s="3" t="n"/>
      <c r="F183" s="7" t="n"/>
    </row>
    <row r="184">
      <c r="A184" s="3" t="n"/>
      <c r="E184" s="3" t="n"/>
      <c r="F184" s="7" t="n"/>
    </row>
    <row r="185">
      <c r="A185" s="3" t="n"/>
      <c r="E185" s="3" t="n"/>
      <c r="F185" s="7" t="n"/>
    </row>
    <row r="186">
      <c r="A186" s="3" t="n"/>
      <c r="E186" s="3" t="n"/>
      <c r="F186" s="7" t="n"/>
    </row>
    <row r="187">
      <c r="A187" s="3" t="n"/>
      <c r="E187" s="3" t="n"/>
      <c r="F187" s="7" t="n"/>
    </row>
    <row r="188">
      <c r="A188" s="3" t="n"/>
      <c r="E188" s="3" t="n"/>
      <c r="F188" s="7" t="n"/>
    </row>
    <row r="189">
      <c r="A189" s="3" t="n"/>
      <c r="E189" s="3" t="n"/>
      <c r="F189" s="7" t="n"/>
    </row>
    <row r="190">
      <c r="A190" s="3" t="n"/>
      <c r="E190" s="3" t="n"/>
      <c r="F190" s="7" t="n"/>
    </row>
    <row r="191">
      <c r="A191" s="3" t="n"/>
      <c r="E191" s="3" t="n"/>
      <c r="F191" s="7" t="n"/>
    </row>
    <row r="192">
      <c r="A192" s="3" t="n"/>
      <c r="E192" s="3" t="n"/>
      <c r="F192" s="7" t="n"/>
    </row>
    <row r="193">
      <c r="A193" s="3" t="n"/>
      <c r="E193" s="3" t="n"/>
      <c r="F193" s="7" t="n"/>
    </row>
    <row r="194">
      <c r="A194" s="3" t="n"/>
      <c r="E194" s="3" t="n"/>
      <c r="F194" s="7" t="n"/>
    </row>
    <row r="195">
      <c r="A195" s="3" t="n"/>
      <c r="E195" s="3" t="n"/>
      <c r="F195" s="7" t="n"/>
    </row>
    <row r="196">
      <c r="A196" s="3" t="n"/>
      <c r="E196" s="3" t="n"/>
      <c r="F196" s="7" t="n"/>
    </row>
    <row r="197">
      <c r="A197" s="3" t="n"/>
      <c r="E197" s="3" t="n"/>
      <c r="F197" s="7" t="n"/>
    </row>
    <row r="198">
      <c r="A198" s="3" t="n"/>
      <c r="E198" s="3" t="n"/>
      <c r="F198" s="7" t="n"/>
    </row>
    <row r="199">
      <c r="A199" s="3" t="n"/>
      <c r="E199" s="3" t="n"/>
      <c r="F199" s="7" t="n"/>
    </row>
    <row r="200">
      <c r="A200" s="3" t="n"/>
      <c r="E200" s="3" t="n"/>
      <c r="F200" s="7" t="n"/>
    </row>
    <row r="201">
      <c r="A201" s="3" t="n"/>
      <c r="E201" s="3" t="n"/>
      <c r="F201" s="7" t="n"/>
    </row>
    <row r="202">
      <c r="A202" s="3" t="n"/>
      <c r="E202" s="3" t="n"/>
      <c r="F202" s="7" t="n"/>
    </row>
    <row r="203">
      <c r="A203" s="3" t="n"/>
      <c r="E203" s="3" t="n"/>
      <c r="F203" s="7" t="n"/>
    </row>
    <row r="204">
      <c r="A204" s="3" t="n"/>
      <c r="E204" s="3" t="n"/>
      <c r="F204" s="7" t="n"/>
    </row>
    <row r="205">
      <c r="A205" s="3" t="n"/>
      <c r="E205" s="3" t="n"/>
      <c r="F205" s="7" t="n"/>
    </row>
    <row r="206">
      <c r="A206" s="3" t="n"/>
      <c r="E206" s="3" t="n"/>
      <c r="F206" s="7" t="n"/>
    </row>
    <row r="207">
      <c r="A207" s="3" t="n"/>
      <c r="E207" s="3" t="n"/>
      <c r="F207" s="7" t="n"/>
    </row>
    <row r="208">
      <c r="A208" s="3" t="n"/>
      <c r="E208" s="3" t="n"/>
      <c r="F208" s="7" t="n"/>
    </row>
    <row r="209">
      <c r="A209" s="3" t="n"/>
      <c r="E209" s="3" t="n"/>
      <c r="F209" s="7" t="n"/>
    </row>
    <row r="210">
      <c r="A210" s="3" t="n"/>
      <c r="E210" s="3" t="n"/>
      <c r="F210" s="7" t="n"/>
    </row>
    <row r="211">
      <c r="A211" s="3" t="n"/>
      <c r="E211" s="3" t="n"/>
      <c r="F211" s="7" t="n"/>
    </row>
    <row r="212">
      <c r="A212" s="3" t="n"/>
      <c r="E212" s="3" t="n"/>
      <c r="F212" s="7" t="n"/>
    </row>
    <row r="213">
      <c r="A213" s="3" t="n"/>
      <c r="E213" s="3" t="n"/>
      <c r="F213" s="7" t="n"/>
    </row>
    <row r="214">
      <c r="A214" s="3" t="n"/>
      <c r="E214" s="3" t="n"/>
      <c r="F214" s="7" t="n"/>
    </row>
    <row r="215">
      <c r="A215" s="3" t="n"/>
      <c r="E215" s="3" t="n"/>
      <c r="F215" s="7" t="n"/>
    </row>
    <row r="216">
      <c r="A216" s="3" t="n"/>
      <c r="E216" s="3" t="n"/>
      <c r="F216" s="7" t="n"/>
    </row>
    <row r="217">
      <c r="A217" s="3" t="n"/>
      <c r="E217" s="3" t="n"/>
      <c r="F217" s="7" t="n"/>
    </row>
    <row r="218">
      <c r="A218" s="3" t="n"/>
      <c r="E218" s="3" t="n"/>
      <c r="F218" s="7" t="n"/>
    </row>
    <row r="219">
      <c r="A219" s="3" t="n"/>
      <c r="E219" s="3" t="n"/>
      <c r="F219" s="7" t="n"/>
    </row>
    <row r="220">
      <c r="A220" s="3" t="n"/>
      <c r="E220" s="3" t="n"/>
      <c r="F220" s="7" t="n"/>
    </row>
    <row r="221">
      <c r="A221" s="3" t="n"/>
      <c r="E221" s="3" t="n"/>
      <c r="F221" s="7" t="n"/>
    </row>
    <row r="222">
      <c r="A222" s="3" t="n"/>
      <c r="E222" s="3" t="n"/>
      <c r="F222" s="7" t="n"/>
    </row>
    <row r="223">
      <c r="A223" s="3" t="n"/>
      <c r="E223" s="3" t="n"/>
      <c r="F223" s="7" t="n"/>
    </row>
    <row r="224">
      <c r="A224" s="3" t="n"/>
      <c r="E224" s="3" t="n"/>
      <c r="F224" s="7" t="n"/>
    </row>
    <row r="225">
      <c r="A225" s="3" t="n"/>
      <c r="E225" s="3" t="n"/>
      <c r="F225" s="7" t="n"/>
    </row>
    <row r="226">
      <c r="A226" s="3" t="n"/>
      <c r="E226" s="3" t="n"/>
      <c r="F226" s="7" t="n"/>
    </row>
    <row r="227">
      <c r="A227" s="3" t="n"/>
      <c r="E227" s="3" t="n"/>
      <c r="F227" s="7" t="n"/>
    </row>
    <row r="228">
      <c r="A228" s="3" t="n"/>
      <c r="E228" s="3" t="n"/>
      <c r="F228" s="7" t="n"/>
    </row>
    <row r="229">
      <c r="A229" s="3" t="n"/>
      <c r="E229" s="3" t="n"/>
      <c r="F229" s="7" t="n"/>
    </row>
    <row r="230">
      <c r="A230" s="3" t="n"/>
      <c r="E230" s="3" t="n"/>
      <c r="F230" s="7" t="n"/>
    </row>
    <row r="231">
      <c r="A231" s="3" t="n"/>
      <c r="E231" s="3" t="n"/>
      <c r="F231" s="7" t="n"/>
    </row>
    <row r="232">
      <c r="A232" s="3" t="n"/>
      <c r="E232" s="3" t="n"/>
      <c r="F232" s="7" t="n"/>
    </row>
    <row r="233">
      <c r="A233" s="3" t="n"/>
      <c r="E233" s="3" t="n"/>
      <c r="F233" s="7" t="n"/>
    </row>
    <row r="234">
      <c r="A234" s="3" t="n"/>
      <c r="E234" s="3" t="n"/>
      <c r="F234" s="7" t="n"/>
    </row>
    <row r="235">
      <c r="A235" s="3" t="n"/>
      <c r="E235" s="3" t="n"/>
      <c r="F235" s="7" t="n"/>
    </row>
    <row r="236">
      <c r="A236" s="3" t="n"/>
      <c r="E236" s="3" t="n"/>
      <c r="F236" s="7" t="n"/>
    </row>
    <row r="237">
      <c r="A237" s="3" t="n"/>
      <c r="E237" s="3" t="n"/>
      <c r="F237" s="7" t="n"/>
    </row>
    <row r="238">
      <c r="A238" s="3" t="n"/>
      <c r="E238" s="3" t="n"/>
      <c r="F238" s="7" t="n"/>
    </row>
    <row r="239">
      <c r="A239" s="3" t="n"/>
      <c r="E239" s="3" t="n"/>
      <c r="F239" s="7" t="n"/>
    </row>
    <row r="240">
      <c r="A240" s="3" t="n"/>
      <c r="E240" s="3" t="n"/>
      <c r="F240" s="7" t="n"/>
    </row>
    <row r="241">
      <c r="A241" s="3" t="n"/>
      <c r="E241" s="3" t="n"/>
      <c r="F241" s="7" t="n"/>
    </row>
    <row r="242">
      <c r="A242" s="3" t="n"/>
      <c r="E242" s="3" t="n"/>
      <c r="F242" s="7" t="n"/>
    </row>
    <row r="243">
      <c r="A243" s="3" t="n"/>
      <c r="E243" s="3" t="n"/>
      <c r="F243" s="7" t="n"/>
    </row>
    <row r="244">
      <c r="A244" s="3" t="n"/>
      <c r="E244" s="3" t="n"/>
      <c r="F244" s="7" t="n"/>
    </row>
    <row r="245">
      <c r="A245" s="3" t="n"/>
      <c r="E245" s="3" t="n"/>
      <c r="F245" s="7" t="n"/>
    </row>
    <row r="246">
      <c r="A246" s="3" t="n"/>
      <c r="E246" s="3" t="n"/>
      <c r="F246" s="7" t="n"/>
    </row>
    <row r="247">
      <c r="A247" s="3" t="n"/>
      <c r="E247" s="3" t="n"/>
      <c r="F247" s="7" t="n"/>
    </row>
    <row r="248">
      <c r="A248" s="3" t="n"/>
      <c r="E248" s="3" t="n"/>
      <c r="F248" s="7" t="n"/>
    </row>
    <row r="249">
      <c r="A249" s="3" t="n"/>
      <c r="E249" s="3" t="n"/>
      <c r="F249" s="7" t="n"/>
    </row>
    <row r="250">
      <c r="A250" s="3" t="n"/>
      <c r="E250" s="3" t="n"/>
      <c r="F250" s="7" t="n"/>
    </row>
    <row r="251">
      <c r="A251" s="3" t="n"/>
      <c r="E251" s="3" t="n"/>
      <c r="F251" s="7" t="n"/>
    </row>
    <row r="252">
      <c r="A252" s="3" t="n"/>
      <c r="E252" s="3" t="n"/>
      <c r="F252" s="7" t="n"/>
    </row>
    <row r="253">
      <c r="A253" s="3" t="n"/>
      <c r="E253" s="3" t="n"/>
      <c r="F253" s="7" t="n"/>
    </row>
    <row r="254">
      <c r="A254" s="3" t="n"/>
      <c r="E254" s="3" t="n"/>
      <c r="F254" s="7" t="n"/>
    </row>
    <row r="255">
      <c r="A255" s="3" t="n"/>
      <c r="E255" s="3" t="n"/>
      <c r="F255" s="7" t="n"/>
    </row>
    <row r="256">
      <c r="A256" s="3" t="n"/>
      <c r="E256" s="3" t="n"/>
      <c r="F256" s="7" t="n"/>
    </row>
    <row r="257">
      <c r="A257" s="3" t="n"/>
      <c r="E257" s="3" t="n"/>
      <c r="F257" s="7" t="n"/>
    </row>
    <row r="258">
      <c r="A258" s="3" t="n"/>
      <c r="E258" s="3" t="n"/>
      <c r="F258" s="7" t="n"/>
    </row>
    <row r="259">
      <c r="A259" s="3" t="n"/>
      <c r="E259" s="3" t="n"/>
      <c r="F259" s="7" t="n"/>
    </row>
    <row r="260">
      <c r="A260" s="3" t="n"/>
      <c r="E260" s="3" t="n"/>
      <c r="F260" s="7" t="n"/>
    </row>
    <row r="261">
      <c r="A261" s="3" t="n"/>
      <c r="E261" s="3" t="n"/>
      <c r="F261" s="7" t="n"/>
    </row>
    <row r="262">
      <c r="A262" s="3" t="n"/>
      <c r="E262" s="3" t="n"/>
      <c r="F262" s="7" t="n"/>
    </row>
    <row r="263">
      <c r="A263" s="3" t="n"/>
      <c r="E263" s="3" t="n"/>
      <c r="F263" s="7" t="n"/>
    </row>
    <row r="264">
      <c r="A264" s="3" t="n"/>
      <c r="E264" s="3" t="n"/>
      <c r="F264" s="7" t="n"/>
    </row>
    <row r="265">
      <c r="A265" s="3" t="n"/>
      <c r="E265" s="3" t="n"/>
      <c r="F265" s="7" t="n"/>
    </row>
    <row r="266">
      <c r="A266" s="3" t="n"/>
      <c r="E266" s="3" t="n"/>
      <c r="F266" s="7" t="n"/>
    </row>
    <row r="267">
      <c r="A267" s="3" t="n"/>
      <c r="E267" s="3" t="n"/>
      <c r="F267" s="7" t="n"/>
    </row>
    <row r="268">
      <c r="A268" s="3" t="n"/>
      <c r="E268" s="3" t="n"/>
      <c r="F268" s="7" t="n"/>
    </row>
    <row r="269">
      <c r="A269" s="3" t="n"/>
      <c r="E269" s="3" t="n"/>
      <c r="F269" s="7" t="n"/>
    </row>
    <row r="270">
      <c r="A270" s="3" t="n"/>
      <c r="E270" s="3" t="n"/>
      <c r="F270" s="7" t="n"/>
    </row>
    <row r="271">
      <c r="A271" s="3" t="n"/>
      <c r="E271" s="3" t="n"/>
      <c r="F271" s="7" t="n"/>
    </row>
    <row r="272">
      <c r="A272" s="3" t="n"/>
      <c r="E272" s="3" t="n"/>
      <c r="F272" s="7" t="n"/>
    </row>
    <row r="273">
      <c r="A273" s="3" t="n"/>
      <c r="E273" s="3" t="n"/>
      <c r="F273" s="7" t="n"/>
    </row>
    <row r="274">
      <c r="A274" s="3" t="n"/>
      <c r="E274" s="3" t="n"/>
      <c r="F274" s="7" t="n"/>
    </row>
    <row r="275">
      <c r="A275" s="3" t="n"/>
      <c r="E275" s="3" t="n"/>
      <c r="F275" s="7" t="n"/>
    </row>
    <row r="276">
      <c r="A276" s="3" t="n"/>
      <c r="E276" s="3" t="n"/>
      <c r="F276" s="7" t="n"/>
    </row>
    <row r="277">
      <c r="A277" s="3" t="n"/>
      <c r="E277" s="3" t="n"/>
      <c r="F277" s="7" t="n"/>
    </row>
    <row r="278">
      <c r="A278" s="3" t="n"/>
      <c r="E278" s="3" t="n"/>
      <c r="F278" s="7" t="n"/>
    </row>
    <row r="279">
      <c r="A279" s="3" t="n"/>
      <c r="E279" s="3" t="n"/>
      <c r="F279" s="7" t="n"/>
    </row>
    <row r="280">
      <c r="A280" s="3" t="n"/>
      <c r="E280" s="3" t="n"/>
      <c r="F280" s="7" t="n"/>
    </row>
    <row r="281">
      <c r="A281" s="3" t="n"/>
      <c r="E281" s="3" t="n"/>
      <c r="F281" s="7" t="n"/>
    </row>
    <row r="282">
      <c r="A282" s="3" t="n"/>
      <c r="E282" s="3" t="n"/>
      <c r="F282" s="7" t="n"/>
    </row>
    <row r="283">
      <c r="A283" s="3" t="n"/>
      <c r="E283" s="3" t="n"/>
      <c r="F283" s="7" t="n"/>
    </row>
    <row r="284">
      <c r="A284" s="3" t="n"/>
      <c r="E284" s="3" t="n"/>
      <c r="F284" s="7" t="n"/>
    </row>
    <row r="285">
      <c r="A285" s="3" t="n"/>
      <c r="E285" s="3" t="n"/>
      <c r="F285" s="7" t="n"/>
    </row>
    <row r="286">
      <c r="A286" s="3" t="n"/>
      <c r="E286" s="3" t="n"/>
      <c r="F286" s="7" t="n"/>
    </row>
    <row r="287">
      <c r="A287" s="3" t="n"/>
      <c r="E287" s="3" t="n"/>
      <c r="F287" s="7" t="n"/>
    </row>
    <row r="288">
      <c r="A288" s="3" t="n"/>
      <c r="E288" s="3" t="n"/>
      <c r="F288" s="7" t="n"/>
    </row>
    <row r="289">
      <c r="A289" s="3" t="n"/>
      <c r="E289" s="3" t="n"/>
      <c r="F289" s="7" t="n"/>
    </row>
    <row r="290">
      <c r="A290" s="3" t="n"/>
      <c r="E290" s="3" t="n"/>
      <c r="F290" s="7" t="n"/>
    </row>
    <row r="291">
      <c r="A291" s="3" t="n"/>
      <c r="E291" s="3" t="n"/>
      <c r="F291" s="7" t="n"/>
    </row>
    <row r="292">
      <c r="A292" s="3" t="n"/>
      <c r="E292" s="3" t="n"/>
      <c r="F292" s="7" t="n"/>
    </row>
    <row r="293">
      <c r="A293" s="3" t="n"/>
      <c r="E293" s="3" t="n"/>
      <c r="F293" s="7" t="n"/>
    </row>
    <row r="294">
      <c r="A294" s="3" t="n"/>
      <c r="E294" s="3" t="n"/>
      <c r="F294" s="7" t="n"/>
    </row>
    <row r="295">
      <c r="A295" s="3" t="n"/>
      <c r="E295" s="3" t="n"/>
      <c r="F295" s="7" t="n"/>
    </row>
    <row r="296">
      <c r="A296" s="3" t="n"/>
      <c r="E296" s="3" t="n"/>
      <c r="F296" s="7" t="n"/>
    </row>
    <row r="297">
      <c r="A297" s="3" t="n"/>
      <c r="E297" s="3" t="n"/>
      <c r="F297" s="7" t="n"/>
    </row>
    <row r="298">
      <c r="A298" s="3" t="n"/>
      <c r="E298" s="3" t="n"/>
      <c r="F298" s="7" t="n"/>
    </row>
    <row r="299">
      <c r="A299" s="3" t="n"/>
      <c r="E299" s="3" t="n"/>
      <c r="F299" s="7" t="n"/>
    </row>
    <row r="300">
      <c r="A300" s="3" t="n"/>
      <c r="E300" s="3" t="n"/>
      <c r="F300" s="7" t="n"/>
    </row>
    <row r="301">
      <c r="A301" s="3" t="n"/>
      <c r="E301" s="3" t="n"/>
      <c r="F301" s="7" t="n"/>
    </row>
    <row r="302">
      <c r="A302" s="3" t="n"/>
      <c r="E302" s="3" t="n"/>
      <c r="F302" s="7" t="n"/>
    </row>
    <row r="303">
      <c r="A303" s="3" t="n"/>
      <c r="E303" s="3" t="n"/>
      <c r="F303" s="7" t="n"/>
    </row>
    <row r="304">
      <c r="A304" s="3" t="n"/>
      <c r="E304" s="3" t="n"/>
      <c r="F304" s="7" t="n"/>
    </row>
    <row r="305">
      <c r="A305" s="3" t="n"/>
      <c r="E305" s="3" t="n"/>
      <c r="F305" s="7" t="n"/>
    </row>
    <row r="306">
      <c r="A306" s="3" t="n"/>
      <c r="E306" s="3" t="n"/>
      <c r="F306" s="7" t="n"/>
    </row>
    <row r="307">
      <c r="A307" s="3" t="n"/>
      <c r="E307" s="3" t="n"/>
      <c r="F307" s="7" t="n"/>
    </row>
    <row r="308">
      <c r="A308" s="3" t="n"/>
      <c r="E308" s="3" t="n"/>
      <c r="F308" s="7" t="n"/>
    </row>
    <row r="309">
      <c r="A309" s="3" t="n"/>
      <c r="E309" s="3" t="n"/>
      <c r="F309" s="7" t="n"/>
    </row>
    <row r="310">
      <c r="A310" s="3" t="n"/>
      <c r="E310" s="3" t="n"/>
      <c r="F310" s="7" t="n"/>
    </row>
    <row r="311">
      <c r="A311" s="3" t="n"/>
      <c r="E311" s="3" t="n"/>
      <c r="F311" s="7" t="n"/>
    </row>
    <row r="312">
      <c r="A312" s="3" t="n"/>
      <c r="E312" s="3" t="n"/>
      <c r="F312" s="7" t="n"/>
    </row>
    <row r="313">
      <c r="A313" s="3" t="n"/>
      <c r="E313" s="3" t="n"/>
      <c r="F313" s="7" t="n"/>
    </row>
    <row r="314">
      <c r="A314" s="3" t="n"/>
      <c r="E314" s="3" t="n"/>
      <c r="F314" s="7" t="n"/>
    </row>
    <row r="315">
      <c r="A315" s="3" t="n"/>
      <c r="E315" s="3" t="n"/>
      <c r="F315" s="7" t="n"/>
    </row>
    <row r="316">
      <c r="A316" s="3" t="n"/>
      <c r="E316" s="3" t="n"/>
      <c r="F316" s="7" t="n"/>
    </row>
    <row r="317">
      <c r="A317" s="3" t="n"/>
      <c r="E317" s="3" t="n"/>
      <c r="F317" s="7" t="n"/>
    </row>
    <row r="318">
      <c r="A318" s="3" t="n"/>
      <c r="E318" s="3" t="n"/>
      <c r="F318" s="7" t="n"/>
    </row>
    <row r="319">
      <c r="A319" s="3" t="n"/>
      <c r="E319" s="3" t="n"/>
      <c r="F319" s="7" t="n"/>
    </row>
    <row r="320">
      <c r="A320" s="3" t="n"/>
      <c r="E320" s="3" t="n"/>
      <c r="F320" s="7" t="n"/>
    </row>
    <row r="321">
      <c r="A321" s="3" t="n"/>
      <c r="E321" s="3" t="n"/>
      <c r="F321" s="7" t="n"/>
    </row>
    <row r="322">
      <c r="A322" s="3" t="n"/>
      <c r="E322" s="3" t="n"/>
      <c r="F322" s="7" t="n"/>
    </row>
    <row r="323">
      <c r="A323" s="3" t="n"/>
      <c r="E323" s="3" t="n"/>
      <c r="F323" s="7" t="n"/>
    </row>
    <row r="324">
      <c r="A324" s="3" t="n"/>
      <c r="E324" s="3" t="n"/>
      <c r="F324" s="7" t="n"/>
    </row>
    <row r="325">
      <c r="A325" s="3" t="n"/>
      <c r="E325" s="3" t="n"/>
      <c r="F325" s="7" t="n"/>
    </row>
    <row r="326">
      <c r="A326" s="3" t="n"/>
      <c r="E326" s="3" t="n"/>
      <c r="F326" s="7" t="n"/>
    </row>
    <row r="327">
      <c r="A327" s="3" t="n"/>
      <c r="E327" s="3" t="n"/>
      <c r="F327" s="7" t="n"/>
    </row>
    <row r="328">
      <c r="A328" s="3" t="n"/>
      <c r="E328" s="3" t="n"/>
      <c r="F328" s="7" t="n"/>
    </row>
    <row r="329">
      <c r="A329" s="3" t="n"/>
      <c r="E329" s="3" t="n"/>
      <c r="F329" s="7" t="n"/>
    </row>
    <row r="330">
      <c r="A330" s="3" t="n"/>
      <c r="E330" s="3" t="n"/>
      <c r="F330" s="7" t="n"/>
    </row>
    <row r="331">
      <c r="A331" s="3" t="n"/>
      <c r="E331" s="3" t="n"/>
      <c r="F331" s="7" t="n"/>
    </row>
    <row r="332">
      <c r="A332" s="3" t="n"/>
      <c r="E332" s="3" t="n"/>
      <c r="F332" s="7" t="n"/>
    </row>
    <row r="333">
      <c r="A333" s="3" t="n"/>
      <c r="E333" s="3" t="n"/>
      <c r="F333" s="7" t="n"/>
    </row>
    <row r="334">
      <c r="A334" s="3" t="n"/>
      <c r="E334" s="3" t="n"/>
      <c r="F334" s="7" t="n"/>
    </row>
    <row r="335">
      <c r="A335" s="3" t="n"/>
      <c r="E335" s="3" t="n"/>
      <c r="F335" s="7" t="n"/>
    </row>
    <row r="336">
      <c r="A336" s="3" t="n"/>
      <c r="E336" s="3" t="n"/>
      <c r="F336" s="7" t="n"/>
    </row>
    <row r="337">
      <c r="A337" s="3" t="n"/>
      <c r="E337" s="3" t="n"/>
      <c r="F337" s="7" t="n"/>
    </row>
    <row r="338">
      <c r="A338" s="3" t="n"/>
      <c r="E338" s="3" t="n"/>
      <c r="F338" s="7" t="n"/>
    </row>
    <row r="339">
      <c r="A339" s="3" t="n"/>
      <c r="E339" s="3" t="n"/>
      <c r="F339" s="7" t="n"/>
    </row>
    <row r="340">
      <c r="A340" s="3" t="n"/>
      <c r="E340" s="3" t="n"/>
      <c r="F340" s="7" t="n"/>
    </row>
    <row r="341">
      <c r="A341" s="3" t="n"/>
      <c r="E341" s="3" t="n"/>
      <c r="F341" s="7" t="n"/>
    </row>
    <row r="342">
      <c r="A342" s="3" t="n"/>
      <c r="E342" s="3" t="n"/>
      <c r="F342" s="7" t="n"/>
    </row>
    <row r="343">
      <c r="A343" s="3" t="n"/>
      <c r="E343" s="3" t="n"/>
      <c r="F343" s="7" t="n"/>
    </row>
    <row r="344">
      <c r="A344" s="3" t="n"/>
      <c r="E344" s="3" t="n"/>
      <c r="F344" s="7" t="n"/>
    </row>
    <row r="345">
      <c r="A345" s="3" t="n"/>
      <c r="E345" s="3" t="n"/>
      <c r="F345" s="7" t="n"/>
    </row>
    <row r="346">
      <c r="A346" s="3" t="n"/>
      <c r="E346" s="3" t="n"/>
      <c r="F346" s="7" t="n"/>
    </row>
    <row r="347">
      <c r="A347" s="3" t="n"/>
      <c r="E347" s="3" t="n"/>
      <c r="F347" s="7" t="n"/>
    </row>
    <row r="348">
      <c r="A348" s="3" t="n"/>
      <c r="E348" s="3" t="n"/>
      <c r="F348" s="7" t="n"/>
    </row>
    <row r="349">
      <c r="A349" s="3" t="n"/>
      <c r="E349" s="3" t="n"/>
      <c r="F349" s="7" t="n"/>
    </row>
    <row r="350">
      <c r="A350" s="3" t="n"/>
      <c r="E350" s="3" t="n"/>
      <c r="F350" s="7" t="n"/>
    </row>
    <row r="351">
      <c r="A351" s="3" t="n"/>
      <c r="E351" s="3" t="n"/>
      <c r="F351" s="7" t="n"/>
    </row>
    <row r="352">
      <c r="A352" s="3" t="n"/>
      <c r="E352" s="3" t="n"/>
      <c r="F352" s="7" t="n"/>
    </row>
    <row r="353">
      <c r="A353" s="3" t="n"/>
      <c r="E353" s="3" t="n"/>
      <c r="F353" s="7" t="n"/>
    </row>
    <row r="354">
      <c r="A354" s="3" t="n"/>
      <c r="E354" s="3" t="n"/>
      <c r="F354" s="7" t="n"/>
    </row>
    <row r="355">
      <c r="A355" s="3" t="n"/>
      <c r="E355" s="3" t="n"/>
      <c r="F355" s="7" t="n"/>
    </row>
    <row r="356">
      <c r="A356" s="3" t="n"/>
      <c r="E356" s="3" t="n"/>
      <c r="F356" s="7" t="n"/>
    </row>
    <row r="357">
      <c r="A357" s="3" t="n"/>
      <c r="E357" s="3" t="n"/>
      <c r="F357" s="7" t="n"/>
    </row>
    <row r="358">
      <c r="A358" s="3" t="n"/>
      <c r="E358" s="3" t="n"/>
      <c r="F358" s="7" t="n"/>
    </row>
    <row r="359">
      <c r="A359" s="3" t="n"/>
      <c r="E359" s="3" t="n"/>
      <c r="F359" s="7" t="n"/>
    </row>
    <row r="360">
      <c r="A360" s="3" t="n"/>
      <c r="E360" s="3" t="n"/>
      <c r="F360" s="7" t="n"/>
    </row>
    <row r="361">
      <c r="A361" s="3" t="n"/>
      <c r="E361" s="3" t="n"/>
      <c r="F361" s="7" t="n"/>
    </row>
    <row r="362">
      <c r="A362" s="3" t="n"/>
      <c r="E362" s="3" t="n"/>
      <c r="F362" s="7" t="n"/>
    </row>
    <row r="363">
      <c r="A363" s="3" t="n"/>
      <c r="E363" s="3" t="n"/>
      <c r="F363" s="7" t="n"/>
    </row>
    <row r="364">
      <c r="A364" s="3" t="n"/>
      <c r="E364" s="3" t="n"/>
      <c r="F364" s="7" t="n"/>
    </row>
    <row r="365">
      <c r="A365" s="3" t="n"/>
      <c r="E365" s="3" t="n"/>
      <c r="F365" s="7" t="n"/>
    </row>
    <row r="366">
      <c r="A366" s="3" t="n"/>
      <c r="E366" s="3" t="n"/>
      <c r="F366" s="7" t="n"/>
    </row>
    <row r="367">
      <c r="A367" s="3" t="n"/>
      <c r="E367" s="3" t="n"/>
      <c r="F367" s="7" t="n"/>
    </row>
    <row r="368">
      <c r="A368" s="3" t="n"/>
      <c r="E368" s="3" t="n"/>
      <c r="F368" s="7" t="n"/>
    </row>
    <row r="369">
      <c r="A369" s="3" t="n"/>
      <c r="E369" s="3" t="n"/>
      <c r="F369" s="7" t="n"/>
    </row>
    <row r="370">
      <c r="A370" s="3" t="n"/>
      <c r="E370" s="3" t="n"/>
      <c r="F370" s="7" t="n"/>
    </row>
    <row r="371">
      <c r="A371" s="3" t="n"/>
      <c r="E371" s="3" t="n"/>
      <c r="F371" s="7" t="n"/>
    </row>
    <row r="372">
      <c r="A372" s="3" t="n"/>
      <c r="E372" s="3" t="n"/>
      <c r="F372" s="7" t="n"/>
    </row>
    <row r="373">
      <c r="A373" s="3" t="n"/>
      <c r="E373" s="3" t="n"/>
      <c r="F373" s="7" t="n"/>
    </row>
    <row r="374">
      <c r="A374" s="3" t="n"/>
      <c r="E374" s="3" t="n"/>
      <c r="F374" s="7" t="n"/>
    </row>
    <row r="375">
      <c r="A375" s="3" t="n"/>
      <c r="E375" s="3" t="n"/>
      <c r="F375" s="7" t="n"/>
    </row>
    <row r="376">
      <c r="A376" s="3" t="n"/>
      <c r="E376" s="3" t="n"/>
      <c r="F376" s="7" t="n"/>
    </row>
    <row r="377">
      <c r="A377" s="3" t="n"/>
      <c r="E377" s="3" t="n"/>
      <c r="F377" s="7" t="n"/>
    </row>
    <row r="378">
      <c r="A378" s="3" t="n"/>
      <c r="E378" s="3" t="n"/>
      <c r="F378" s="7" t="n"/>
    </row>
    <row r="379">
      <c r="A379" s="3" t="n"/>
      <c r="E379" s="3" t="n"/>
      <c r="F379" s="7" t="n"/>
    </row>
    <row r="380">
      <c r="A380" s="3" t="n"/>
      <c r="E380" s="3" t="n"/>
      <c r="F380" s="7" t="n"/>
    </row>
    <row r="381">
      <c r="A381" s="3" t="n"/>
      <c r="E381" s="3" t="n"/>
      <c r="F381" s="7" t="n"/>
    </row>
    <row r="382">
      <c r="A382" s="3" t="n"/>
      <c r="E382" s="3" t="n"/>
      <c r="F382" s="7" t="n"/>
    </row>
    <row r="383">
      <c r="A383" s="3" t="n"/>
      <c r="E383" s="3" t="n"/>
      <c r="F383" s="7" t="n"/>
    </row>
    <row r="384">
      <c r="A384" s="3" t="n"/>
      <c r="E384" s="3" t="n"/>
      <c r="F384" s="7" t="n"/>
    </row>
    <row r="385">
      <c r="A385" s="3" t="n"/>
      <c r="E385" s="3" t="n"/>
      <c r="F385" s="7" t="n"/>
    </row>
    <row r="386">
      <c r="A386" s="3" t="n"/>
      <c r="E386" s="3" t="n"/>
      <c r="F386" s="7" t="n"/>
    </row>
    <row r="387">
      <c r="A387" s="3" t="n"/>
      <c r="E387" s="3" t="n"/>
      <c r="F387" s="7" t="n"/>
    </row>
    <row r="388">
      <c r="A388" s="3" t="n"/>
      <c r="E388" s="3" t="n"/>
      <c r="F388" s="7" t="n"/>
    </row>
    <row r="389">
      <c r="A389" s="3" t="n"/>
      <c r="E389" s="3" t="n"/>
      <c r="F389" s="7" t="n"/>
    </row>
    <row r="390">
      <c r="A390" s="3" t="n"/>
      <c r="E390" s="3" t="n"/>
      <c r="F390" s="7" t="n"/>
    </row>
    <row r="391">
      <c r="A391" s="3" t="n"/>
      <c r="E391" s="3" t="n"/>
      <c r="F391" s="7" t="n"/>
    </row>
    <row r="392">
      <c r="A392" s="3" t="n"/>
      <c r="E392" s="3" t="n"/>
      <c r="F392" s="7" t="n"/>
    </row>
    <row r="393">
      <c r="A393" s="3" t="n"/>
      <c r="E393" s="3" t="n"/>
      <c r="F393" s="7" t="n"/>
    </row>
    <row r="394">
      <c r="A394" s="3" t="n"/>
      <c r="E394" s="3" t="n"/>
      <c r="F394" s="7" t="n"/>
    </row>
    <row r="395">
      <c r="A395" s="3" t="n"/>
      <c r="E395" s="3" t="n"/>
      <c r="F395" s="7" t="n"/>
    </row>
    <row r="396">
      <c r="A396" s="3" t="n"/>
      <c r="E396" s="3" t="n"/>
      <c r="F396" s="7" t="n"/>
    </row>
    <row r="397">
      <c r="A397" s="3" t="n"/>
      <c r="E397" s="3" t="n"/>
      <c r="F397" s="7" t="n"/>
    </row>
    <row r="398">
      <c r="A398" s="3" t="n"/>
      <c r="E398" s="3" t="n"/>
      <c r="F398" s="7" t="n"/>
    </row>
    <row r="399">
      <c r="A399" s="3" t="n"/>
      <c r="E399" s="3" t="n"/>
      <c r="F399" s="7" t="n"/>
    </row>
    <row r="400">
      <c r="A400" s="3" t="n"/>
      <c r="E400" s="3" t="n"/>
      <c r="F400" s="7" t="n"/>
    </row>
    <row r="401">
      <c r="A401" s="3" t="n"/>
      <c r="E401" s="3" t="n"/>
      <c r="F401" s="7" t="n"/>
    </row>
    <row r="402">
      <c r="A402" s="3" t="n"/>
      <c r="E402" s="3" t="n"/>
      <c r="F402" s="7" t="n"/>
    </row>
    <row r="403">
      <c r="A403" s="3" t="n"/>
      <c r="E403" s="3" t="n"/>
      <c r="F403" s="7" t="n"/>
    </row>
    <row r="404">
      <c r="A404" s="3" t="n"/>
      <c r="E404" s="3" t="n"/>
      <c r="F404" s="7" t="n"/>
    </row>
    <row r="405">
      <c r="A405" s="3" t="n"/>
      <c r="E405" s="3" t="n"/>
      <c r="F405" s="7" t="n"/>
    </row>
    <row r="406">
      <c r="A406" s="3" t="n"/>
      <c r="E406" s="3" t="n"/>
      <c r="F406" s="7" t="n"/>
    </row>
    <row r="407">
      <c r="A407" s="3" t="n"/>
      <c r="E407" s="3" t="n"/>
      <c r="F407" s="7" t="n"/>
    </row>
    <row r="408">
      <c r="A408" s="3" t="n"/>
      <c r="E408" s="3" t="n"/>
      <c r="F408" s="7" t="n"/>
    </row>
    <row r="409">
      <c r="A409" s="3" t="n"/>
      <c r="E409" s="3" t="n"/>
      <c r="F409" s="7" t="n"/>
    </row>
    <row r="410">
      <c r="A410" s="3" t="n"/>
      <c r="E410" s="3" t="n"/>
      <c r="F410" s="7" t="n"/>
    </row>
    <row r="411">
      <c r="A411" s="3" t="n"/>
      <c r="E411" s="3" t="n"/>
      <c r="F411" s="7" t="n"/>
    </row>
    <row r="412">
      <c r="A412" s="3" t="n"/>
      <c r="E412" s="3" t="n"/>
      <c r="F412" s="7" t="n"/>
    </row>
    <row r="413">
      <c r="A413" s="3" t="n"/>
      <c r="E413" s="3" t="n"/>
      <c r="F413" s="7" t="n"/>
    </row>
    <row r="414">
      <c r="A414" s="3" t="n"/>
      <c r="E414" s="3" t="n"/>
      <c r="F414" s="7" t="n"/>
    </row>
    <row r="415">
      <c r="A415" s="3" t="n"/>
      <c r="E415" s="3" t="n"/>
      <c r="F415" s="7" t="n"/>
    </row>
    <row r="416">
      <c r="A416" s="3" t="n"/>
      <c r="E416" s="3" t="n"/>
      <c r="F416" s="7" t="n"/>
    </row>
    <row r="417">
      <c r="A417" s="3" t="n"/>
      <c r="E417" s="3" t="n"/>
      <c r="F417" s="7" t="n"/>
    </row>
    <row r="418">
      <c r="A418" s="3" t="n"/>
      <c r="E418" s="3" t="n"/>
      <c r="F418" s="7" t="n"/>
    </row>
    <row r="419">
      <c r="A419" s="3" t="n"/>
      <c r="E419" s="3" t="n"/>
      <c r="F419" s="7" t="n"/>
    </row>
    <row r="420">
      <c r="A420" s="3" t="n"/>
      <c r="E420" s="3" t="n"/>
      <c r="F420" s="7" t="n"/>
    </row>
    <row r="421">
      <c r="A421" s="3" t="n"/>
      <c r="E421" s="3" t="n"/>
      <c r="F421" s="7" t="n"/>
    </row>
    <row r="422">
      <c r="A422" s="3" t="n"/>
      <c r="E422" s="3" t="n"/>
      <c r="F422" s="7" t="n"/>
    </row>
    <row r="423">
      <c r="A423" s="3" t="n"/>
      <c r="E423" s="3" t="n"/>
      <c r="F423" s="7" t="n"/>
    </row>
    <row r="424">
      <c r="A424" s="3" t="n"/>
      <c r="E424" s="3" t="n"/>
      <c r="F424" s="7" t="n"/>
    </row>
    <row r="425">
      <c r="A425" s="3" t="n"/>
      <c r="E425" s="3" t="n"/>
      <c r="F425" s="7" t="n"/>
    </row>
    <row r="426">
      <c r="A426" s="3" t="n"/>
      <c r="E426" s="3" t="n"/>
      <c r="F426" s="7" t="n"/>
    </row>
    <row r="427">
      <c r="A427" s="3" t="n"/>
      <c r="E427" s="3" t="n"/>
      <c r="F427" s="7" t="n"/>
    </row>
    <row r="428">
      <c r="A428" s="3" t="n"/>
      <c r="E428" s="3" t="n"/>
      <c r="F428" s="7" t="n"/>
    </row>
    <row r="429">
      <c r="A429" s="3" t="n"/>
      <c r="E429" s="3" t="n"/>
      <c r="F429" s="7" t="n"/>
    </row>
    <row r="430">
      <c r="A430" s="3" t="n"/>
      <c r="E430" s="3" t="n"/>
      <c r="F430" s="7" t="n"/>
    </row>
    <row r="431">
      <c r="A431" s="3" t="n"/>
      <c r="E431" s="3" t="n"/>
      <c r="F431" s="7" t="n"/>
    </row>
    <row r="432">
      <c r="A432" s="3" t="n"/>
      <c r="E432" s="3" t="n"/>
      <c r="F432" s="7" t="n"/>
    </row>
    <row r="433">
      <c r="A433" s="3" t="n"/>
      <c r="E433" s="3" t="n"/>
      <c r="F433" s="7" t="n"/>
    </row>
    <row r="434">
      <c r="A434" s="3" t="n"/>
      <c r="E434" s="3" t="n"/>
      <c r="F434" s="7" t="n"/>
    </row>
    <row r="435">
      <c r="A435" s="3" t="n"/>
      <c r="E435" s="3" t="n"/>
      <c r="F435" s="7" t="n"/>
    </row>
    <row r="436">
      <c r="A436" s="3" t="n"/>
      <c r="E436" s="3" t="n"/>
      <c r="F436" s="7" t="n"/>
    </row>
    <row r="437">
      <c r="A437" s="3" t="n"/>
      <c r="E437" s="3" t="n"/>
      <c r="F437" s="7" t="n"/>
    </row>
    <row r="438">
      <c r="A438" s="3" t="n"/>
      <c r="E438" s="3" t="n"/>
      <c r="F438" s="7" t="n"/>
    </row>
    <row r="439">
      <c r="A439" s="3" t="n"/>
      <c r="E439" s="3" t="n"/>
      <c r="F439" s="7" t="n"/>
    </row>
    <row r="440">
      <c r="A440" s="3" t="n"/>
      <c r="E440" s="3" t="n"/>
      <c r="F440" s="7" t="n"/>
    </row>
    <row r="441">
      <c r="A441" s="3" t="n"/>
      <c r="E441" s="3" t="n"/>
      <c r="F441" s="7" t="n"/>
    </row>
    <row r="442">
      <c r="A442" s="3" t="n"/>
      <c r="E442" s="3" t="n"/>
      <c r="F442" s="7" t="n"/>
    </row>
    <row r="443">
      <c r="A443" s="3" t="n"/>
      <c r="E443" s="3" t="n"/>
      <c r="F443" s="7" t="n"/>
    </row>
    <row r="444">
      <c r="A444" s="3" t="n"/>
      <c r="E444" s="3" t="n"/>
      <c r="F444" s="7" t="n"/>
    </row>
    <row r="445">
      <c r="A445" s="3" t="n"/>
      <c r="E445" s="3" t="n"/>
      <c r="F445" s="7" t="n"/>
    </row>
    <row r="446">
      <c r="A446" s="3" t="n"/>
      <c r="E446" s="3" t="n"/>
      <c r="F446" s="7" t="n"/>
    </row>
    <row r="447">
      <c r="A447" s="3" t="n"/>
      <c r="E447" s="3" t="n"/>
      <c r="F447" s="7" t="n"/>
    </row>
    <row r="448">
      <c r="A448" s="3" t="n"/>
      <c r="E448" s="3" t="n"/>
      <c r="F448" s="7" t="n"/>
    </row>
    <row r="449">
      <c r="A449" s="3" t="n"/>
      <c r="E449" s="3" t="n"/>
      <c r="F449" s="7" t="n"/>
    </row>
    <row r="450">
      <c r="A450" s="3" t="n"/>
      <c r="E450" s="3" t="n"/>
      <c r="F450" s="7" t="n"/>
    </row>
    <row r="451">
      <c r="A451" s="3" t="n"/>
      <c r="E451" s="3" t="n"/>
      <c r="F451" s="7" t="n"/>
    </row>
    <row r="452">
      <c r="A452" s="3" t="n"/>
      <c r="E452" s="3" t="n"/>
      <c r="F452" s="7" t="n"/>
    </row>
    <row r="453">
      <c r="A453" s="3" t="n"/>
      <c r="E453" s="3" t="n"/>
      <c r="F453" s="7" t="n"/>
    </row>
    <row r="454">
      <c r="A454" s="3" t="n"/>
      <c r="E454" s="3" t="n"/>
      <c r="F454" s="7" t="n"/>
    </row>
    <row r="455">
      <c r="A455" s="3" t="n"/>
      <c r="E455" s="3" t="n"/>
      <c r="F455" s="7" t="n"/>
    </row>
    <row r="456">
      <c r="A456" s="3" t="n"/>
      <c r="E456" s="3" t="n"/>
      <c r="F456" s="7" t="n"/>
    </row>
    <row r="457">
      <c r="A457" s="3" t="n"/>
      <c r="E457" s="3" t="n"/>
      <c r="F457" s="7" t="n"/>
    </row>
    <row r="458">
      <c r="A458" s="3" t="n"/>
      <c r="E458" s="3" t="n"/>
      <c r="F458" s="7" t="n"/>
    </row>
    <row r="459">
      <c r="A459" s="3" t="n"/>
      <c r="E459" s="3" t="n"/>
      <c r="F459" s="7" t="n"/>
    </row>
    <row r="460">
      <c r="A460" s="3" t="n"/>
      <c r="E460" s="3" t="n"/>
      <c r="F460" s="7" t="n"/>
    </row>
    <row r="461">
      <c r="A461" s="3" t="n"/>
      <c r="E461" s="3" t="n"/>
      <c r="F461" s="7" t="n"/>
    </row>
    <row r="462">
      <c r="A462" s="3" t="n"/>
      <c r="E462" s="3" t="n"/>
      <c r="F462" s="7" t="n"/>
    </row>
    <row r="463">
      <c r="A463" s="3" t="n"/>
      <c r="E463" s="3" t="n"/>
      <c r="F463" s="7" t="n"/>
    </row>
    <row r="464">
      <c r="A464" s="3" t="n"/>
      <c r="E464" s="3" t="n"/>
      <c r="F464" s="7" t="n"/>
    </row>
    <row r="465">
      <c r="A465" s="3" t="n"/>
      <c r="E465" s="3" t="n"/>
      <c r="F465" s="7" t="n"/>
    </row>
    <row r="466">
      <c r="A466" s="3" t="n"/>
      <c r="E466" s="3" t="n"/>
      <c r="F466" s="7" t="n"/>
    </row>
    <row r="467">
      <c r="A467" s="3" t="n"/>
      <c r="E467" s="3" t="n"/>
      <c r="F467" s="7" t="n"/>
    </row>
    <row r="468">
      <c r="A468" s="3" t="n"/>
      <c r="E468" s="3" t="n"/>
      <c r="F468" s="7" t="n"/>
    </row>
    <row r="469">
      <c r="A469" s="3" t="n"/>
      <c r="E469" s="3" t="n"/>
      <c r="F469" s="7" t="n"/>
    </row>
    <row r="470">
      <c r="A470" s="3" t="n"/>
      <c r="E470" s="3" t="n"/>
      <c r="F470" s="7" t="n"/>
    </row>
    <row r="471">
      <c r="A471" s="3" t="n"/>
      <c r="E471" s="3" t="n"/>
      <c r="F471" s="7" t="n"/>
    </row>
    <row r="472">
      <c r="A472" s="3" t="n"/>
      <c r="E472" s="3" t="n"/>
      <c r="F472" s="7" t="n"/>
    </row>
    <row r="473">
      <c r="A473" s="3" t="n"/>
      <c r="E473" s="3" t="n"/>
      <c r="F473" s="7" t="n"/>
    </row>
    <row r="474">
      <c r="A474" s="3" t="n"/>
      <c r="E474" s="3" t="n"/>
      <c r="F474" s="7" t="n"/>
    </row>
    <row r="475">
      <c r="A475" s="3" t="n"/>
      <c r="E475" s="3" t="n"/>
      <c r="F475" s="7" t="n"/>
    </row>
    <row r="476">
      <c r="A476" s="3" t="n"/>
      <c r="E476" s="3" t="n"/>
      <c r="F476" s="7" t="n"/>
    </row>
    <row r="477">
      <c r="A477" s="3" t="n"/>
      <c r="E477" s="3" t="n"/>
      <c r="F477" s="7" t="n"/>
    </row>
    <row r="478">
      <c r="A478" s="3" t="n"/>
      <c r="E478" s="3" t="n"/>
      <c r="F478" s="7" t="n"/>
    </row>
    <row r="479">
      <c r="A479" s="3" t="n"/>
      <c r="E479" s="3" t="n"/>
      <c r="F479" s="7" t="n"/>
    </row>
    <row r="480">
      <c r="A480" s="3" t="n"/>
      <c r="E480" s="3" t="n"/>
      <c r="F480" s="7" t="n"/>
    </row>
    <row r="481">
      <c r="A481" s="3" t="n"/>
      <c r="E481" s="3" t="n"/>
      <c r="F481" s="7" t="n"/>
    </row>
    <row r="482">
      <c r="A482" s="3" t="n"/>
      <c r="E482" s="3" t="n"/>
      <c r="F482" s="7" t="n"/>
    </row>
    <row r="483">
      <c r="A483" s="3" t="n"/>
      <c r="E483" s="3" t="n"/>
      <c r="F483" s="7" t="n"/>
    </row>
    <row r="484">
      <c r="A484" s="3" t="n"/>
      <c r="E484" s="3" t="n"/>
      <c r="F484" s="7" t="n"/>
    </row>
    <row r="485">
      <c r="A485" s="3" t="n"/>
      <c r="E485" s="3" t="n"/>
      <c r="F485" s="7" t="n"/>
    </row>
    <row r="486">
      <c r="A486" s="3" t="n"/>
      <c r="E486" s="3" t="n"/>
      <c r="F486" s="7" t="n"/>
    </row>
    <row r="487">
      <c r="A487" s="3" t="n"/>
      <c r="E487" s="3" t="n"/>
      <c r="F487" s="7" t="n"/>
    </row>
    <row r="488">
      <c r="A488" s="3" t="n"/>
      <c r="E488" s="3" t="n"/>
      <c r="F488" s="7" t="n"/>
    </row>
    <row r="489">
      <c r="A489" s="3" t="n"/>
      <c r="E489" s="3" t="n"/>
      <c r="F489" s="7" t="n"/>
    </row>
    <row r="490">
      <c r="A490" s="3" t="n"/>
      <c r="E490" s="3" t="n"/>
      <c r="F490" s="7" t="n"/>
    </row>
    <row r="491">
      <c r="A491" s="3" t="n"/>
      <c r="E491" s="3" t="n"/>
      <c r="F491" s="7" t="n"/>
    </row>
    <row r="492">
      <c r="A492" s="3" t="n"/>
      <c r="E492" s="3" t="n"/>
      <c r="F492" s="7" t="n"/>
    </row>
    <row r="493">
      <c r="A493" s="3" t="n"/>
      <c r="E493" s="3" t="n"/>
      <c r="F493" s="7" t="n"/>
    </row>
    <row r="494">
      <c r="A494" s="3" t="n"/>
      <c r="E494" s="3" t="n"/>
      <c r="F494" s="7" t="n"/>
    </row>
    <row r="495">
      <c r="A495" s="3" t="n"/>
      <c r="E495" s="3" t="n"/>
      <c r="F495" s="7" t="n"/>
    </row>
    <row r="496">
      <c r="A496" s="3" t="n"/>
      <c r="E496" s="3" t="n"/>
      <c r="F496" s="7" t="n"/>
    </row>
    <row r="497">
      <c r="A497" s="3" t="n"/>
      <c r="E497" s="3" t="n"/>
      <c r="F497" s="7" t="n"/>
    </row>
    <row r="498">
      <c r="A498" s="3" t="n"/>
      <c r="E498" s="3" t="n"/>
      <c r="F498" s="7" t="n"/>
    </row>
    <row r="499">
      <c r="A499" s="3" t="n"/>
      <c r="E499" s="3" t="n"/>
      <c r="F499" s="7" t="n"/>
    </row>
    <row r="500">
      <c r="A500" s="3" t="n"/>
      <c r="E500" s="3" t="n"/>
      <c r="F500" s="7" t="n"/>
    </row>
    <row r="501">
      <c r="A501" s="3" t="n"/>
      <c r="E501" s="3" t="n"/>
      <c r="F501" s="7" t="n"/>
    </row>
  </sheetData>
  <autoFilter ref="A1:G501"/>
  <conditionalFormatting sqref="A2:A501">
    <cfRule type="expression" priority="1" dxfId="0">
      <formula>AND($A2&lt;&gt;"",COUNTIF($A$2:$A$501,$A2)&gt;1)</formula>
    </cfRule>
  </conditionalFormatting>
  <dataValidations count="3">
    <dataValidation sqref="C2:C501" showDropDown="0" showInputMessage="0" showErrorMessage="1" allowBlank="1" errorTitle="입력 오류" error="목록에 있는 값만 선택할 수 있습니다." type="list">
      <formula1>"Y,N"</formula1>
    </dataValidation>
    <dataValidation sqref="D2:D501" showDropDown="0" showInputMessage="0" showErrorMessage="1" allowBlank="1" errorTitle="입력 오류" error="목록에 있는 값만 선택할 수 있습니다." type="list">
      <formula1>"Y,N"</formula1>
    </dataValidation>
    <dataValidation sqref="G2:G501" showDropDown="0" showInputMessage="0" showErrorMessage="1" allowBlank="1" errorTitle="입력 오류" error="목록에 있는 값만 선택할 수 있습니다." type="list">
      <formula1>"사용,중지"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4" customWidth="1" min="4" max="4"/>
    <col width="10" customWidth="1" min="5" max="5"/>
  </cols>
  <sheetData>
    <row r="1" ht="24" customHeight="1">
      <c r="A1" s="1" t="inlineStr">
        <is>
          <t>광고코드</t>
        </is>
      </c>
      <c r="B1" s="1" t="inlineStr">
        <is>
          <t>매체명</t>
        </is>
      </c>
      <c r="C1" s="1" t="inlineStr">
        <is>
          <t>유형</t>
        </is>
      </c>
      <c r="D1" s="1" t="inlineStr">
        <is>
          <t>과금방식</t>
        </is>
      </c>
      <c r="E1" s="1" t="inlineStr">
        <is>
          <t>상태</t>
        </is>
      </c>
    </row>
    <row r="2">
      <c r="A2" s="3" t="n"/>
    </row>
    <row r="3">
      <c r="A3" s="3" t="n"/>
    </row>
    <row r="4">
      <c r="A4" s="3" t="n"/>
    </row>
    <row r="5">
      <c r="A5" s="3" t="n"/>
    </row>
    <row r="6">
      <c r="A6" s="3" t="n"/>
    </row>
    <row r="7">
      <c r="A7" s="3" t="n"/>
    </row>
    <row r="8">
      <c r="A8" s="3" t="n"/>
    </row>
    <row r="9">
      <c r="A9" s="3" t="n"/>
    </row>
    <row r="10">
      <c r="A10" s="3" t="n"/>
    </row>
    <row r="11">
      <c r="A11" s="3" t="n"/>
    </row>
    <row r="12">
      <c r="A12" s="3" t="n"/>
    </row>
    <row r="13">
      <c r="A13" s="3" t="n"/>
    </row>
    <row r="14">
      <c r="A14" s="3" t="n"/>
    </row>
    <row r="15">
      <c r="A15" s="3" t="n"/>
    </row>
    <row r="16">
      <c r="A16" s="3" t="n"/>
    </row>
    <row r="17">
      <c r="A17" s="3" t="n"/>
    </row>
    <row r="18">
      <c r="A18" s="3" t="n"/>
    </row>
    <row r="19">
      <c r="A19" s="3" t="n"/>
    </row>
    <row r="20">
      <c r="A20" s="3" t="n"/>
    </row>
    <row r="21">
      <c r="A21" s="3" t="n"/>
    </row>
    <row r="22">
      <c r="A22" s="3" t="n"/>
    </row>
    <row r="23">
      <c r="A23" s="3" t="n"/>
    </row>
    <row r="24">
      <c r="A24" s="3" t="n"/>
    </row>
    <row r="25">
      <c r="A25" s="3" t="n"/>
    </row>
    <row r="26">
      <c r="A26" s="3" t="n"/>
    </row>
    <row r="27">
      <c r="A27" s="3" t="n"/>
    </row>
    <row r="28">
      <c r="A28" s="3" t="n"/>
    </row>
    <row r="29">
      <c r="A29" s="3" t="n"/>
    </row>
    <row r="30">
      <c r="A30" s="3" t="n"/>
    </row>
    <row r="31">
      <c r="A31" s="3" t="n"/>
    </row>
    <row r="32">
      <c r="A32" s="3" t="n"/>
    </row>
    <row r="33">
      <c r="A33" s="3" t="n"/>
    </row>
    <row r="34">
      <c r="A34" s="3" t="n"/>
    </row>
    <row r="35">
      <c r="A35" s="3" t="n"/>
    </row>
    <row r="36">
      <c r="A36" s="3" t="n"/>
    </row>
    <row r="37">
      <c r="A37" s="3" t="n"/>
    </row>
    <row r="38">
      <c r="A38" s="3" t="n"/>
    </row>
    <row r="39">
      <c r="A39" s="3" t="n"/>
    </row>
    <row r="40">
      <c r="A40" s="3" t="n"/>
    </row>
    <row r="41">
      <c r="A41" s="3" t="n"/>
    </row>
    <row r="42">
      <c r="A42" s="3" t="n"/>
    </row>
    <row r="43">
      <c r="A43" s="3" t="n"/>
    </row>
    <row r="44">
      <c r="A44" s="3" t="n"/>
    </row>
    <row r="45">
      <c r="A45" s="3" t="n"/>
    </row>
    <row r="46">
      <c r="A46" s="3" t="n"/>
    </row>
    <row r="47">
      <c r="A47" s="3" t="n"/>
    </row>
    <row r="48">
      <c r="A48" s="3" t="n"/>
    </row>
    <row r="49">
      <c r="A49" s="3" t="n"/>
    </row>
    <row r="50">
      <c r="A50" s="3" t="n"/>
    </row>
    <row r="51">
      <c r="A51" s="3" t="n"/>
    </row>
    <row r="52">
      <c r="A52" s="3" t="n"/>
    </row>
    <row r="53">
      <c r="A53" s="3" t="n"/>
    </row>
    <row r="54">
      <c r="A54" s="3" t="n"/>
    </row>
    <row r="55">
      <c r="A55" s="3" t="n"/>
    </row>
    <row r="56">
      <c r="A56" s="3" t="n"/>
    </row>
    <row r="57">
      <c r="A57" s="3" t="n"/>
    </row>
    <row r="58">
      <c r="A58" s="3" t="n"/>
    </row>
    <row r="59">
      <c r="A59" s="3" t="n"/>
    </row>
    <row r="60">
      <c r="A60" s="3" t="n"/>
    </row>
    <row r="61">
      <c r="A61" s="3" t="n"/>
    </row>
    <row r="62">
      <c r="A62" s="3" t="n"/>
    </row>
    <row r="63">
      <c r="A63" s="3" t="n"/>
    </row>
    <row r="64">
      <c r="A64" s="3" t="n"/>
    </row>
    <row r="65">
      <c r="A65" s="3" t="n"/>
    </row>
    <row r="66">
      <c r="A66" s="3" t="n"/>
    </row>
    <row r="67">
      <c r="A67" s="3" t="n"/>
    </row>
    <row r="68">
      <c r="A68" s="3" t="n"/>
    </row>
    <row r="69">
      <c r="A69" s="3" t="n"/>
    </row>
    <row r="70">
      <c r="A70" s="3" t="n"/>
    </row>
    <row r="71">
      <c r="A71" s="3" t="n"/>
    </row>
    <row r="72">
      <c r="A72" s="3" t="n"/>
    </row>
    <row r="73">
      <c r="A73" s="3" t="n"/>
    </row>
    <row r="74">
      <c r="A74" s="3" t="n"/>
    </row>
    <row r="75">
      <c r="A75" s="3" t="n"/>
    </row>
    <row r="76">
      <c r="A76" s="3" t="n"/>
    </row>
    <row r="77">
      <c r="A77" s="3" t="n"/>
    </row>
    <row r="78">
      <c r="A78" s="3" t="n"/>
    </row>
    <row r="79">
      <c r="A79" s="3" t="n"/>
    </row>
    <row r="80">
      <c r="A80" s="3" t="n"/>
    </row>
    <row r="81">
      <c r="A81" s="3" t="n"/>
    </row>
    <row r="82">
      <c r="A82" s="3" t="n"/>
    </row>
    <row r="83">
      <c r="A83" s="3" t="n"/>
    </row>
    <row r="84">
      <c r="A84" s="3" t="n"/>
    </row>
    <row r="85">
      <c r="A85" s="3" t="n"/>
    </row>
    <row r="86">
      <c r="A86" s="3" t="n"/>
    </row>
    <row r="87">
      <c r="A87" s="3" t="n"/>
    </row>
    <row r="88">
      <c r="A88" s="3" t="n"/>
    </row>
    <row r="89">
      <c r="A89" s="3" t="n"/>
    </row>
    <row r="90">
      <c r="A90" s="3" t="n"/>
    </row>
    <row r="91">
      <c r="A91" s="3" t="n"/>
    </row>
    <row r="92">
      <c r="A92" s="3" t="n"/>
    </row>
    <row r="93">
      <c r="A93" s="3" t="n"/>
    </row>
    <row r="94">
      <c r="A94" s="3" t="n"/>
    </row>
    <row r="95">
      <c r="A95" s="3" t="n"/>
    </row>
    <row r="96">
      <c r="A96" s="3" t="n"/>
    </row>
    <row r="97">
      <c r="A97" s="3" t="n"/>
    </row>
    <row r="98">
      <c r="A98" s="3" t="n"/>
    </row>
    <row r="99">
      <c r="A99" s="3" t="n"/>
    </row>
    <row r="100">
      <c r="A100" s="3" t="n"/>
    </row>
    <row r="101">
      <c r="A101" s="3" t="n"/>
    </row>
    <row r="102">
      <c r="A102" s="3" t="n"/>
    </row>
    <row r="103">
      <c r="A103" s="3" t="n"/>
    </row>
    <row r="104">
      <c r="A104" s="3" t="n"/>
    </row>
    <row r="105">
      <c r="A105" s="3" t="n"/>
    </row>
    <row r="106">
      <c r="A106" s="3" t="n"/>
    </row>
    <row r="107">
      <c r="A107" s="3" t="n"/>
    </row>
    <row r="108">
      <c r="A108" s="3" t="n"/>
    </row>
    <row r="109">
      <c r="A109" s="3" t="n"/>
    </row>
    <row r="110">
      <c r="A110" s="3" t="n"/>
    </row>
    <row r="111">
      <c r="A111" s="3" t="n"/>
    </row>
    <row r="112">
      <c r="A112" s="3" t="n"/>
    </row>
    <row r="113">
      <c r="A113" s="3" t="n"/>
    </row>
    <row r="114">
      <c r="A114" s="3" t="n"/>
    </row>
    <row r="115">
      <c r="A115" s="3" t="n"/>
    </row>
    <row r="116">
      <c r="A116" s="3" t="n"/>
    </row>
    <row r="117">
      <c r="A117" s="3" t="n"/>
    </row>
    <row r="118">
      <c r="A118" s="3" t="n"/>
    </row>
    <row r="119">
      <c r="A119" s="3" t="n"/>
    </row>
    <row r="120">
      <c r="A120" s="3" t="n"/>
    </row>
    <row r="121">
      <c r="A121" s="3" t="n"/>
    </row>
    <row r="122">
      <c r="A122" s="3" t="n"/>
    </row>
    <row r="123">
      <c r="A123" s="3" t="n"/>
    </row>
    <row r="124">
      <c r="A124" s="3" t="n"/>
    </row>
    <row r="125">
      <c r="A125" s="3" t="n"/>
    </row>
    <row r="126">
      <c r="A126" s="3" t="n"/>
    </row>
    <row r="127">
      <c r="A127" s="3" t="n"/>
    </row>
    <row r="128">
      <c r="A128" s="3" t="n"/>
    </row>
    <row r="129">
      <c r="A129" s="3" t="n"/>
    </row>
    <row r="130">
      <c r="A130" s="3" t="n"/>
    </row>
    <row r="131">
      <c r="A131" s="3" t="n"/>
    </row>
    <row r="132">
      <c r="A132" s="3" t="n"/>
    </row>
    <row r="133">
      <c r="A133" s="3" t="n"/>
    </row>
    <row r="134">
      <c r="A134" s="3" t="n"/>
    </row>
    <row r="135">
      <c r="A135" s="3" t="n"/>
    </row>
    <row r="136">
      <c r="A136" s="3" t="n"/>
    </row>
    <row r="137">
      <c r="A137" s="3" t="n"/>
    </row>
    <row r="138">
      <c r="A138" s="3" t="n"/>
    </row>
    <row r="139">
      <c r="A139" s="3" t="n"/>
    </row>
    <row r="140">
      <c r="A140" s="3" t="n"/>
    </row>
    <row r="141">
      <c r="A141" s="3" t="n"/>
    </row>
    <row r="142">
      <c r="A142" s="3" t="n"/>
    </row>
    <row r="143">
      <c r="A143" s="3" t="n"/>
    </row>
    <row r="144">
      <c r="A144" s="3" t="n"/>
    </row>
    <row r="145">
      <c r="A145" s="3" t="n"/>
    </row>
    <row r="146">
      <c r="A146" s="3" t="n"/>
    </row>
    <row r="147">
      <c r="A147" s="3" t="n"/>
    </row>
    <row r="148">
      <c r="A148" s="3" t="n"/>
    </row>
    <row r="149">
      <c r="A149" s="3" t="n"/>
    </row>
    <row r="150">
      <c r="A150" s="3" t="n"/>
    </row>
    <row r="151">
      <c r="A151" s="3" t="n"/>
    </row>
    <row r="152">
      <c r="A152" s="3" t="n"/>
    </row>
    <row r="153">
      <c r="A153" s="3" t="n"/>
    </row>
    <row r="154">
      <c r="A154" s="3" t="n"/>
    </row>
    <row r="155">
      <c r="A155" s="3" t="n"/>
    </row>
    <row r="156">
      <c r="A156" s="3" t="n"/>
    </row>
    <row r="157">
      <c r="A157" s="3" t="n"/>
    </row>
    <row r="158">
      <c r="A158" s="3" t="n"/>
    </row>
    <row r="159">
      <c r="A159" s="3" t="n"/>
    </row>
    <row r="160">
      <c r="A160" s="3" t="n"/>
    </row>
    <row r="161">
      <c r="A161" s="3" t="n"/>
    </row>
    <row r="162">
      <c r="A162" s="3" t="n"/>
    </row>
    <row r="163">
      <c r="A163" s="3" t="n"/>
    </row>
    <row r="164">
      <c r="A164" s="3" t="n"/>
    </row>
    <row r="165">
      <c r="A165" s="3" t="n"/>
    </row>
    <row r="166">
      <c r="A166" s="3" t="n"/>
    </row>
    <row r="167">
      <c r="A167" s="3" t="n"/>
    </row>
    <row r="168">
      <c r="A168" s="3" t="n"/>
    </row>
    <row r="169">
      <c r="A169" s="3" t="n"/>
    </row>
    <row r="170">
      <c r="A170" s="3" t="n"/>
    </row>
    <row r="171">
      <c r="A171" s="3" t="n"/>
    </row>
    <row r="172">
      <c r="A172" s="3" t="n"/>
    </row>
    <row r="173">
      <c r="A173" s="3" t="n"/>
    </row>
    <row r="174">
      <c r="A174" s="3" t="n"/>
    </row>
    <row r="175">
      <c r="A175" s="3" t="n"/>
    </row>
    <row r="176">
      <c r="A176" s="3" t="n"/>
    </row>
    <row r="177">
      <c r="A177" s="3" t="n"/>
    </row>
    <row r="178">
      <c r="A178" s="3" t="n"/>
    </row>
    <row r="179">
      <c r="A179" s="3" t="n"/>
    </row>
    <row r="180">
      <c r="A180" s="3" t="n"/>
    </row>
    <row r="181">
      <c r="A181" s="3" t="n"/>
    </row>
    <row r="182">
      <c r="A182" s="3" t="n"/>
    </row>
    <row r="183">
      <c r="A183" s="3" t="n"/>
    </row>
    <row r="184">
      <c r="A184" s="3" t="n"/>
    </row>
    <row r="185">
      <c r="A185" s="3" t="n"/>
    </row>
    <row r="186">
      <c r="A186" s="3" t="n"/>
    </row>
    <row r="187">
      <c r="A187" s="3" t="n"/>
    </row>
    <row r="188">
      <c r="A188" s="3" t="n"/>
    </row>
    <row r="189">
      <c r="A189" s="3" t="n"/>
    </row>
    <row r="190">
      <c r="A190" s="3" t="n"/>
    </row>
    <row r="191">
      <c r="A191" s="3" t="n"/>
    </row>
    <row r="192">
      <c r="A192" s="3" t="n"/>
    </row>
    <row r="193">
      <c r="A193" s="3" t="n"/>
    </row>
    <row r="194">
      <c r="A194" s="3" t="n"/>
    </row>
    <row r="195">
      <c r="A195" s="3" t="n"/>
    </row>
    <row r="196">
      <c r="A196" s="3" t="n"/>
    </row>
    <row r="197">
      <c r="A197" s="3" t="n"/>
    </row>
    <row r="198">
      <c r="A198" s="3" t="n"/>
    </row>
    <row r="199">
      <c r="A199" s="3" t="n"/>
    </row>
    <row r="200">
      <c r="A200" s="3" t="n"/>
    </row>
    <row r="201">
      <c r="A201" s="3" t="n"/>
    </row>
    <row r="202">
      <c r="A202" s="3" t="n"/>
    </row>
    <row r="203">
      <c r="A203" s="3" t="n"/>
    </row>
    <row r="204">
      <c r="A204" s="3" t="n"/>
    </row>
    <row r="205">
      <c r="A205" s="3" t="n"/>
    </row>
    <row r="206">
      <c r="A206" s="3" t="n"/>
    </row>
    <row r="207">
      <c r="A207" s="3" t="n"/>
    </row>
    <row r="208">
      <c r="A208" s="3" t="n"/>
    </row>
    <row r="209">
      <c r="A209" s="3" t="n"/>
    </row>
    <row r="210">
      <c r="A210" s="3" t="n"/>
    </row>
    <row r="211">
      <c r="A211" s="3" t="n"/>
    </row>
    <row r="212">
      <c r="A212" s="3" t="n"/>
    </row>
    <row r="213">
      <c r="A213" s="3" t="n"/>
    </row>
    <row r="214">
      <c r="A214" s="3" t="n"/>
    </row>
    <row r="215">
      <c r="A215" s="3" t="n"/>
    </row>
    <row r="216">
      <c r="A216" s="3" t="n"/>
    </row>
    <row r="217">
      <c r="A217" s="3" t="n"/>
    </row>
    <row r="218">
      <c r="A218" s="3" t="n"/>
    </row>
    <row r="219">
      <c r="A219" s="3" t="n"/>
    </row>
    <row r="220">
      <c r="A220" s="3" t="n"/>
    </row>
    <row r="221">
      <c r="A221" s="3" t="n"/>
    </row>
    <row r="222">
      <c r="A222" s="3" t="n"/>
    </row>
    <row r="223">
      <c r="A223" s="3" t="n"/>
    </row>
    <row r="224">
      <c r="A224" s="3" t="n"/>
    </row>
    <row r="225">
      <c r="A225" s="3" t="n"/>
    </row>
    <row r="226">
      <c r="A226" s="3" t="n"/>
    </row>
    <row r="227">
      <c r="A227" s="3" t="n"/>
    </row>
    <row r="228">
      <c r="A228" s="3" t="n"/>
    </row>
    <row r="229">
      <c r="A229" s="3" t="n"/>
    </row>
    <row r="230">
      <c r="A230" s="3" t="n"/>
    </row>
    <row r="231">
      <c r="A231" s="3" t="n"/>
    </row>
    <row r="232">
      <c r="A232" s="3" t="n"/>
    </row>
    <row r="233">
      <c r="A233" s="3" t="n"/>
    </row>
    <row r="234">
      <c r="A234" s="3" t="n"/>
    </row>
    <row r="235">
      <c r="A235" s="3" t="n"/>
    </row>
    <row r="236">
      <c r="A236" s="3" t="n"/>
    </row>
    <row r="237">
      <c r="A237" s="3" t="n"/>
    </row>
    <row r="238">
      <c r="A238" s="3" t="n"/>
    </row>
    <row r="239">
      <c r="A239" s="3" t="n"/>
    </row>
    <row r="240">
      <c r="A240" s="3" t="n"/>
    </row>
    <row r="241">
      <c r="A241" s="3" t="n"/>
    </row>
    <row r="242">
      <c r="A242" s="3" t="n"/>
    </row>
    <row r="243">
      <c r="A243" s="3" t="n"/>
    </row>
    <row r="244">
      <c r="A244" s="3" t="n"/>
    </row>
    <row r="245">
      <c r="A245" s="3" t="n"/>
    </row>
    <row r="246">
      <c r="A246" s="3" t="n"/>
    </row>
    <row r="247">
      <c r="A247" s="3" t="n"/>
    </row>
    <row r="248">
      <c r="A248" s="3" t="n"/>
    </row>
    <row r="249">
      <c r="A249" s="3" t="n"/>
    </row>
    <row r="250">
      <c r="A250" s="3" t="n"/>
    </row>
    <row r="251">
      <c r="A251" s="3" t="n"/>
    </row>
    <row r="252">
      <c r="A252" s="3" t="n"/>
    </row>
    <row r="253">
      <c r="A253" s="3" t="n"/>
    </row>
    <row r="254">
      <c r="A254" s="3" t="n"/>
    </row>
    <row r="255">
      <c r="A255" s="3" t="n"/>
    </row>
    <row r="256">
      <c r="A256" s="3" t="n"/>
    </row>
    <row r="257">
      <c r="A257" s="3" t="n"/>
    </row>
    <row r="258">
      <c r="A258" s="3" t="n"/>
    </row>
    <row r="259">
      <c r="A259" s="3" t="n"/>
    </row>
    <row r="260">
      <c r="A260" s="3" t="n"/>
    </row>
    <row r="261">
      <c r="A261" s="3" t="n"/>
    </row>
    <row r="262">
      <c r="A262" s="3" t="n"/>
    </row>
    <row r="263">
      <c r="A263" s="3" t="n"/>
    </row>
    <row r="264">
      <c r="A264" s="3" t="n"/>
    </row>
    <row r="265">
      <c r="A265" s="3" t="n"/>
    </row>
    <row r="266">
      <c r="A266" s="3" t="n"/>
    </row>
    <row r="267">
      <c r="A267" s="3" t="n"/>
    </row>
    <row r="268">
      <c r="A268" s="3" t="n"/>
    </row>
    <row r="269">
      <c r="A269" s="3" t="n"/>
    </row>
    <row r="270">
      <c r="A270" s="3" t="n"/>
    </row>
    <row r="271">
      <c r="A271" s="3" t="n"/>
    </row>
    <row r="272">
      <c r="A272" s="3" t="n"/>
    </row>
    <row r="273">
      <c r="A273" s="3" t="n"/>
    </row>
    <row r="274">
      <c r="A274" s="3" t="n"/>
    </row>
    <row r="275">
      <c r="A275" s="3" t="n"/>
    </row>
    <row r="276">
      <c r="A276" s="3" t="n"/>
    </row>
    <row r="277">
      <c r="A277" s="3" t="n"/>
    </row>
    <row r="278">
      <c r="A278" s="3" t="n"/>
    </row>
    <row r="279">
      <c r="A279" s="3" t="n"/>
    </row>
    <row r="280">
      <c r="A280" s="3" t="n"/>
    </row>
    <row r="281">
      <c r="A281" s="3" t="n"/>
    </row>
    <row r="282">
      <c r="A282" s="3" t="n"/>
    </row>
    <row r="283">
      <c r="A283" s="3" t="n"/>
    </row>
    <row r="284">
      <c r="A284" s="3" t="n"/>
    </row>
    <row r="285">
      <c r="A285" s="3" t="n"/>
    </row>
    <row r="286">
      <c r="A286" s="3" t="n"/>
    </row>
    <row r="287">
      <c r="A287" s="3" t="n"/>
    </row>
    <row r="288">
      <c r="A288" s="3" t="n"/>
    </row>
    <row r="289">
      <c r="A289" s="3" t="n"/>
    </row>
    <row r="290">
      <c r="A290" s="3" t="n"/>
    </row>
    <row r="291">
      <c r="A291" s="3" t="n"/>
    </row>
    <row r="292">
      <c r="A292" s="3" t="n"/>
    </row>
    <row r="293">
      <c r="A293" s="3" t="n"/>
    </row>
    <row r="294">
      <c r="A294" s="3" t="n"/>
    </row>
    <row r="295">
      <c r="A295" s="3" t="n"/>
    </row>
    <row r="296">
      <c r="A296" s="3" t="n"/>
    </row>
    <row r="297">
      <c r="A297" s="3" t="n"/>
    </row>
    <row r="298">
      <c r="A298" s="3" t="n"/>
    </row>
    <row r="299">
      <c r="A299" s="3" t="n"/>
    </row>
    <row r="300">
      <c r="A300" s="3" t="n"/>
    </row>
    <row r="301">
      <c r="A301" s="3" t="n"/>
    </row>
    <row r="302">
      <c r="A302" s="3" t="n"/>
    </row>
    <row r="303">
      <c r="A303" s="3" t="n"/>
    </row>
    <row r="304">
      <c r="A304" s="3" t="n"/>
    </row>
    <row r="305">
      <c r="A305" s="3" t="n"/>
    </row>
    <row r="306">
      <c r="A306" s="3" t="n"/>
    </row>
    <row r="307">
      <c r="A307" s="3" t="n"/>
    </row>
    <row r="308">
      <c r="A308" s="3" t="n"/>
    </row>
    <row r="309">
      <c r="A309" s="3" t="n"/>
    </row>
    <row r="310">
      <c r="A310" s="3" t="n"/>
    </row>
    <row r="311">
      <c r="A311" s="3" t="n"/>
    </row>
    <row r="312">
      <c r="A312" s="3" t="n"/>
    </row>
    <row r="313">
      <c r="A313" s="3" t="n"/>
    </row>
    <row r="314">
      <c r="A314" s="3" t="n"/>
    </row>
    <row r="315">
      <c r="A315" s="3" t="n"/>
    </row>
    <row r="316">
      <c r="A316" s="3" t="n"/>
    </row>
    <row r="317">
      <c r="A317" s="3" t="n"/>
    </row>
    <row r="318">
      <c r="A318" s="3" t="n"/>
    </row>
    <row r="319">
      <c r="A319" s="3" t="n"/>
    </row>
    <row r="320">
      <c r="A320" s="3" t="n"/>
    </row>
    <row r="321">
      <c r="A321" s="3" t="n"/>
    </row>
    <row r="322">
      <c r="A322" s="3" t="n"/>
    </row>
    <row r="323">
      <c r="A323" s="3" t="n"/>
    </row>
    <row r="324">
      <c r="A324" s="3" t="n"/>
    </row>
    <row r="325">
      <c r="A325" s="3" t="n"/>
    </row>
    <row r="326">
      <c r="A326" s="3" t="n"/>
    </row>
    <row r="327">
      <c r="A327" s="3" t="n"/>
    </row>
    <row r="328">
      <c r="A328" s="3" t="n"/>
    </row>
    <row r="329">
      <c r="A329" s="3" t="n"/>
    </row>
    <row r="330">
      <c r="A330" s="3" t="n"/>
    </row>
    <row r="331">
      <c r="A331" s="3" t="n"/>
    </row>
    <row r="332">
      <c r="A332" s="3" t="n"/>
    </row>
    <row r="333">
      <c r="A333" s="3" t="n"/>
    </row>
    <row r="334">
      <c r="A334" s="3" t="n"/>
    </row>
    <row r="335">
      <c r="A335" s="3" t="n"/>
    </row>
    <row r="336">
      <c r="A336" s="3" t="n"/>
    </row>
    <row r="337">
      <c r="A337" s="3" t="n"/>
    </row>
    <row r="338">
      <c r="A338" s="3" t="n"/>
    </row>
    <row r="339">
      <c r="A339" s="3" t="n"/>
    </row>
    <row r="340">
      <c r="A340" s="3" t="n"/>
    </row>
    <row r="341">
      <c r="A341" s="3" t="n"/>
    </row>
    <row r="342">
      <c r="A342" s="3" t="n"/>
    </row>
    <row r="343">
      <c r="A343" s="3" t="n"/>
    </row>
    <row r="344">
      <c r="A344" s="3" t="n"/>
    </row>
    <row r="345">
      <c r="A345" s="3" t="n"/>
    </row>
    <row r="346">
      <c r="A346" s="3" t="n"/>
    </row>
    <row r="347">
      <c r="A347" s="3" t="n"/>
    </row>
    <row r="348">
      <c r="A348" s="3" t="n"/>
    </row>
    <row r="349">
      <c r="A349" s="3" t="n"/>
    </row>
    <row r="350">
      <c r="A350" s="3" t="n"/>
    </row>
    <row r="351">
      <c r="A351" s="3" t="n"/>
    </row>
    <row r="352">
      <c r="A352" s="3" t="n"/>
    </row>
    <row r="353">
      <c r="A353" s="3" t="n"/>
    </row>
    <row r="354">
      <c r="A354" s="3" t="n"/>
    </row>
    <row r="355">
      <c r="A355" s="3" t="n"/>
    </row>
    <row r="356">
      <c r="A356" s="3" t="n"/>
    </row>
    <row r="357">
      <c r="A357" s="3" t="n"/>
    </row>
    <row r="358">
      <c r="A358" s="3" t="n"/>
    </row>
    <row r="359">
      <c r="A359" s="3" t="n"/>
    </row>
    <row r="360">
      <c r="A360" s="3" t="n"/>
    </row>
    <row r="361">
      <c r="A361" s="3" t="n"/>
    </row>
    <row r="362">
      <c r="A362" s="3" t="n"/>
    </row>
    <row r="363">
      <c r="A363" s="3" t="n"/>
    </row>
    <row r="364">
      <c r="A364" s="3" t="n"/>
    </row>
    <row r="365">
      <c r="A365" s="3" t="n"/>
    </row>
    <row r="366">
      <c r="A366" s="3" t="n"/>
    </row>
    <row r="367">
      <c r="A367" s="3" t="n"/>
    </row>
    <row r="368">
      <c r="A368" s="3" t="n"/>
    </row>
    <row r="369">
      <c r="A369" s="3" t="n"/>
    </row>
    <row r="370">
      <c r="A370" s="3" t="n"/>
    </row>
    <row r="371">
      <c r="A371" s="3" t="n"/>
    </row>
    <row r="372">
      <c r="A372" s="3" t="n"/>
    </row>
    <row r="373">
      <c r="A373" s="3" t="n"/>
    </row>
    <row r="374">
      <c r="A374" s="3" t="n"/>
    </row>
    <row r="375">
      <c r="A375" s="3" t="n"/>
    </row>
    <row r="376">
      <c r="A376" s="3" t="n"/>
    </row>
    <row r="377">
      <c r="A377" s="3" t="n"/>
    </row>
    <row r="378">
      <c r="A378" s="3" t="n"/>
    </row>
    <row r="379">
      <c r="A379" s="3" t="n"/>
    </row>
    <row r="380">
      <c r="A380" s="3" t="n"/>
    </row>
    <row r="381">
      <c r="A381" s="3" t="n"/>
    </row>
    <row r="382">
      <c r="A382" s="3" t="n"/>
    </row>
    <row r="383">
      <c r="A383" s="3" t="n"/>
    </row>
    <row r="384">
      <c r="A384" s="3" t="n"/>
    </row>
    <row r="385">
      <c r="A385" s="3" t="n"/>
    </row>
    <row r="386">
      <c r="A386" s="3" t="n"/>
    </row>
    <row r="387">
      <c r="A387" s="3" t="n"/>
    </row>
    <row r="388">
      <c r="A388" s="3" t="n"/>
    </row>
    <row r="389">
      <c r="A389" s="3" t="n"/>
    </row>
    <row r="390">
      <c r="A390" s="3" t="n"/>
    </row>
    <row r="391">
      <c r="A391" s="3" t="n"/>
    </row>
    <row r="392">
      <c r="A392" s="3" t="n"/>
    </row>
    <row r="393">
      <c r="A393" s="3" t="n"/>
    </row>
    <row r="394">
      <c r="A394" s="3" t="n"/>
    </row>
    <row r="395">
      <c r="A395" s="3" t="n"/>
    </row>
    <row r="396">
      <c r="A396" s="3" t="n"/>
    </row>
    <row r="397">
      <c r="A397" s="3" t="n"/>
    </row>
    <row r="398">
      <c r="A398" s="3" t="n"/>
    </row>
    <row r="399">
      <c r="A399" s="3" t="n"/>
    </row>
    <row r="400">
      <c r="A400" s="3" t="n"/>
    </row>
    <row r="401">
      <c r="A401" s="3" t="n"/>
    </row>
    <row r="402">
      <c r="A402" s="3" t="n"/>
    </row>
    <row r="403">
      <c r="A403" s="3" t="n"/>
    </row>
    <row r="404">
      <c r="A404" s="3" t="n"/>
    </row>
    <row r="405">
      <c r="A405" s="3" t="n"/>
    </row>
    <row r="406">
      <c r="A406" s="3" t="n"/>
    </row>
    <row r="407">
      <c r="A407" s="3" t="n"/>
    </row>
    <row r="408">
      <c r="A408" s="3" t="n"/>
    </row>
    <row r="409">
      <c r="A409" s="3" t="n"/>
    </row>
    <row r="410">
      <c r="A410" s="3" t="n"/>
    </row>
    <row r="411">
      <c r="A411" s="3" t="n"/>
    </row>
    <row r="412">
      <c r="A412" s="3" t="n"/>
    </row>
    <row r="413">
      <c r="A413" s="3" t="n"/>
    </row>
    <row r="414">
      <c r="A414" s="3" t="n"/>
    </row>
    <row r="415">
      <c r="A415" s="3" t="n"/>
    </row>
    <row r="416">
      <c r="A416" s="3" t="n"/>
    </row>
    <row r="417">
      <c r="A417" s="3" t="n"/>
    </row>
    <row r="418">
      <c r="A418" s="3" t="n"/>
    </row>
    <row r="419">
      <c r="A419" s="3" t="n"/>
    </row>
    <row r="420">
      <c r="A420" s="3" t="n"/>
    </row>
    <row r="421">
      <c r="A421" s="3" t="n"/>
    </row>
    <row r="422">
      <c r="A422" s="3" t="n"/>
    </row>
    <row r="423">
      <c r="A423" s="3" t="n"/>
    </row>
    <row r="424">
      <c r="A424" s="3" t="n"/>
    </row>
    <row r="425">
      <c r="A425" s="3" t="n"/>
    </row>
    <row r="426">
      <c r="A426" s="3" t="n"/>
    </row>
    <row r="427">
      <c r="A427" s="3" t="n"/>
    </row>
    <row r="428">
      <c r="A428" s="3" t="n"/>
    </row>
    <row r="429">
      <c r="A429" s="3" t="n"/>
    </row>
    <row r="430">
      <c r="A430" s="3" t="n"/>
    </row>
    <row r="431">
      <c r="A431" s="3" t="n"/>
    </row>
    <row r="432">
      <c r="A432" s="3" t="n"/>
    </row>
    <row r="433">
      <c r="A433" s="3" t="n"/>
    </row>
    <row r="434">
      <c r="A434" s="3" t="n"/>
    </row>
    <row r="435">
      <c r="A435" s="3" t="n"/>
    </row>
    <row r="436">
      <c r="A436" s="3" t="n"/>
    </row>
    <row r="437">
      <c r="A437" s="3" t="n"/>
    </row>
    <row r="438">
      <c r="A438" s="3" t="n"/>
    </row>
    <row r="439">
      <c r="A439" s="3" t="n"/>
    </row>
    <row r="440">
      <c r="A440" s="3" t="n"/>
    </row>
    <row r="441">
      <c r="A441" s="3" t="n"/>
    </row>
    <row r="442">
      <c r="A442" s="3" t="n"/>
    </row>
    <row r="443">
      <c r="A443" s="3" t="n"/>
    </row>
    <row r="444">
      <c r="A444" s="3" t="n"/>
    </row>
    <row r="445">
      <c r="A445" s="3" t="n"/>
    </row>
    <row r="446">
      <c r="A446" s="3" t="n"/>
    </row>
    <row r="447">
      <c r="A447" s="3" t="n"/>
    </row>
    <row r="448">
      <c r="A448" s="3" t="n"/>
    </row>
    <row r="449">
      <c r="A449" s="3" t="n"/>
    </row>
    <row r="450">
      <c r="A450" s="3" t="n"/>
    </row>
    <row r="451">
      <c r="A451" s="3" t="n"/>
    </row>
    <row r="452">
      <c r="A452" s="3" t="n"/>
    </row>
    <row r="453">
      <c r="A453" s="3" t="n"/>
    </row>
    <row r="454">
      <c r="A454" s="3" t="n"/>
    </row>
    <row r="455">
      <c r="A455" s="3" t="n"/>
    </row>
    <row r="456">
      <c r="A456" s="3" t="n"/>
    </row>
    <row r="457">
      <c r="A457" s="3" t="n"/>
    </row>
    <row r="458">
      <c r="A458" s="3" t="n"/>
    </row>
    <row r="459">
      <c r="A459" s="3" t="n"/>
    </row>
    <row r="460">
      <c r="A460" s="3" t="n"/>
    </row>
    <row r="461">
      <c r="A461" s="3" t="n"/>
    </row>
    <row r="462">
      <c r="A462" s="3" t="n"/>
    </row>
    <row r="463">
      <c r="A463" s="3" t="n"/>
    </row>
    <row r="464">
      <c r="A464" s="3" t="n"/>
    </row>
    <row r="465">
      <c r="A465" s="3" t="n"/>
    </row>
    <row r="466">
      <c r="A466" s="3" t="n"/>
    </row>
    <row r="467">
      <c r="A467" s="3" t="n"/>
    </row>
    <row r="468">
      <c r="A468" s="3" t="n"/>
    </row>
    <row r="469">
      <c r="A469" s="3" t="n"/>
    </row>
    <row r="470">
      <c r="A470" s="3" t="n"/>
    </row>
    <row r="471">
      <c r="A471" s="3" t="n"/>
    </row>
    <row r="472">
      <c r="A472" s="3" t="n"/>
    </row>
    <row r="473">
      <c r="A473" s="3" t="n"/>
    </row>
    <row r="474">
      <c r="A474" s="3" t="n"/>
    </row>
    <row r="475">
      <c r="A475" s="3" t="n"/>
    </row>
    <row r="476">
      <c r="A476" s="3" t="n"/>
    </row>
    <row r="477">
      <c r="A477" s="3" t="n"/>
    </row>
    <row r="478">
      <c r="A478" s="3" t="n"/>
    </row>
    <row r="479">
      <c r="A479" s="3" t="n"/>
    </row>
    <row r="480">
      <c r="A480" s="3" t="n"/>
    </row>
    <row r="481">
      <c r="A481" s="3" t="n"/>
    </row>
    <row r="482">
      <c r="A482" s="3" t="n"/>
    </row>
    <row r="483">
      <c r="A483" s="3" t="n"/>
    </row>
    <row r="484">
      <c r="A484" s="3" t="n"/>
    </row>
    <row r="485">
      <c r="A485" s="3" t="n"/>
    </row>
    <row r="486">
      <c r="A486" s="3" t="n"/>
    </row>
    <row r="487">
      <c r="A487" s="3" t="n"/>
    </row>
    <row r="488">
      <c r="A488" s="3" t="n"/>
    </row>
    <row r="489">
      <c r="A489" s="3" t="n"/>
    </row>
    <row r="490">
      <c r="A490" s="3" t="n"/>
    </row>
    <row r="491">
      <c r="A491" s="3" t="n"/>
    </row>
    <row r="492">
      <c r="A492" s="3" t="n"/>
    </row>
    <row r="493">
      <c r="A493" s="3" t="n"/>
    </row>
    <row r="494">
      <c r="A494" s="3" t="n"/>
    </row>
    <row r="495">
      <c r="A495" s="3" t="n"/>
    </row>
    <row r="496">
      <c r="A496" s="3" t="n"/>
    </row>
    <row r="497">
      <c r="A497" s="3" t="n"/>
    </row>
    <row r="498">
      <c r="A498" s="3" t="n"/>
    </row>
    <row r="499">
      <c r="A499" s="3" t="n"/>
    </row>
    <row r="500">
      <c r="A500" s="3" t="n"/>
    </row>
    <row r="501">
      <c r="A501" s="3" t="n"/>
    </row>
  </sheetData>
  <autoFilter ref="A1:E501"/>
  <conditionalFormatting sqref="A2:A501">
    <cfRule type="expression" priority="1" dxfId="0">
      <formula>AND($A2&lt;&gt;"",COUNTIF($A$2:$A$501,$A2)&gt;1)</formula>
    </cfRule>
  </conditionalFormatting>
  <dataValidations count="3">
    <dataValidation sqref="C2:C501" showDropDown="0" showInputMessage="0" showErrorMessage="1" allowBlank="1" errorTitle="입력 오류" error="목록에 있는 값만 선택할 수 있습니다." type="list">
      <formula1>"검색,SNS,디스플레이,인플루언서,공동구매,라이브커머스,기타"</formula1>
    </dataValidation>
    <dataValidation sqref="D2:D501" showDropDown="0" showInputMessage="0" showErrorMessage="1" allowBlank="1" errorTitle="입력 오류" error="목록에 있는 값만 선택할 수 있습니다." type="list">
      <formula1>"CPC,CPM,CPA,CPS,고정비,기타"</formula1>
    </dataValidation>
    <dataValidation sqref="E2:E501" showDropDown="0" showInputMessage="0" showErrorMessage="1" allowBlank="1" errorTitle="입력 오류" error="목록에 있는 값만 선택할 수 있습니다." type="list">
      <formula1>"사용,중지"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</cols>
  <sheetData>
    <row r="1">
      <c r="A1" s="8" t="inlineStr">
        <is>
          <t>항목</t>
        </is>
      </c>
      <c r="B1" s="8" t="inlineStr">
        <is>
          <t>값</t>
        </is>
      </c>
    </row>
    <row r="2">
      <c r="A2" s="9" t="inlineStr">
        <is>
          <t>공급가 마진배분율</t>
        </is>
      </c>
      <c r="B2" s="1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2026-10-02T00:50:01Z</dcterms:created>
  <dcterms:modified xsi:type="dcterms:W3CDTF">2026-10-02T00:50:02Z</dcterms:modified>
</cp:coreProperties>
</file>